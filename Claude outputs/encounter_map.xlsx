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iers" sheetId="2" state="visible" r:id="rId4"/>
    <sheet name="Encounters" sheetId="3" state="visible" r:id="rId5"/>
    <sheet name="Sites" sheetId="4" state="visible" r:id="rId6"/>
    <sheet name="Site encounters" sheetId="5" state="visible" r:id="rId7"/>
    <sheet name="Regions" sheetId="6" state="visible" r:id="rId8"/>
    <sheet name="Biomes &amp; enemies" sheetId="7" state="visible" r:id="rId9"/>
    <sheet name="Spawn odds" sheetId="8" state="visible" r:id="rId10"/>
    <sheet name="Fixed loot" sheetId="9" state="visible" r:id="rId11"/>
    <sheet name="Drop tables" sheetId="10" state="visible" r:id="rId12"/>
    <sheet name="Bonus drops" sheetId="11" state="visible" r:id="rId13"/>
    <sheet name="Chains" sheetId="12" state="visible" r:id="rId14"/>
    <sheet name="Crafts &amp; buildings" sheetId="13" state="visible" r:id="rId15"/>
    <sheet name="Carry load" sheetId="14" state="visible" r:id="rId16"/>
    <sheet name="Exhaustion" sheetId="15" state="visible" r:id="rId17"/>
    <sheet name="Site conditions" sheetId="16" state="visible" r:id="rId18"/>
    <sheet name="Item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0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11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12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13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14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15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16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21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29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30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31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32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33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34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35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39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40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43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44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  <comment ref="K45" authorId="0">
      <text>
        <r>
          <rPr>
            <sz val="10"/>
            <rFont val="Arial"/>
            <family val="2"/>
          </rPr>
          <t xml:space="preserve">Base chance of reaching this step from the first encounter in the chain (regions ignored).</t>
        </r>
      </text>
    </comment>
  </commentList>
</comments>
</file>

<file path=xl/sharedStrings.xml><?xml version="1.0" encoding="utf-8"?>
<sst xmlns="http://schemas.openxmlformats.org/spreadsheetml/2006/main" count="2355" uniqueCount="829">
  <si>
    <t xml:space="preserve">Dimensional Summoner — encounters, drops and chains</t>
  </si>
  <si>
    <t xml:space="preserve">Generated from src/dimensional_sim/world/catalog.py on 2026-10-16 (6 landmark sites, camp buildings; encounters-v11, save schema 13).</t>
  </si>
  <si>
    <t xml:space="preserve">How to use</t>
  </si>
  <si>
    <t xml:space="preserve">Blue text on yellow</t>
  </si>
  <si>
    <t xml:space="preserve">An input you can change: weights, region %, tier odds, drop odds, chances.</t>
  </si>
  <si>
    <t xml:space="preserve">Black text</t>
  </si>
  <si>
    <t xml:space="preserve">A formula. Every chance in this workbook recalculates from the inputs.</t>
  </si>
  <si>
    <t xml:space="preserve">Changing the game</t>
  </si>
  <si>
    <t xml:space="preserve">Edits here do not change the game. Send the file back and the changes get ported into catalog.py.</t>
  </si>
  <si>
    <t xml:space="preserve">How a spot is rolled</t>
  </si>
  <si>
    <t xml:space="preserve">1. Spots per chunk</t>
  </si>
  <si>
    <t xml:space="preserve">Each new chunk rolls one entry of [0, 1, 1, 2, 2, 3] (average 1.5 spots).</t>
  </si>
  <si>
    <t xml:space="preserve">2. Tier first</t>
  </si>
  <si>
    <t xml:space="preserve">Rare rolls first; a miss tries uncommon; common catches the rest. A tier with nothing eligible is skipped.</t>
  </si>
  <si>
    <t xml:space="preserve">3. Tier odds scale</t>
  </si>
  <si>
    <t xml:space="preserve">Tier odds x (eligible weight in that tier / its full weight), capped at 90%. Unlocking more of a tier raises its odds.</t>
  </si>
  <si>
    <t xml:space="preserve">4. Pick in tier</t>
  </si>
  <si>
    <t xml:space="preserve">Inside the tier, an encounter is picked by effective weight (base weight x region %, rounded down like the game).</t>
  </si>
  <si>
    <t xml:space="preserve">5. After the roll</t>
  </si>
  <si>
    <t xml:space="preserve">At-once caps (windows), spawn pity and the Journal guarantee apply after this table; Journal favor/suppress is not modelled here.</t>
  </si>
  <si>
    <t xml:space="preserve">How loot works</t>
  </si>
  <si>
    <t xml:space="preserve">Fixed loot</t>
  </si>
  <si>
    <t xml:space="preserve">Each fixed entry rolls on its own (sheet 'Fixed loot'). These feed the auto-pilot's food and crafting plans.</t>
  </si>
  <si>
    <t xml:space="preserve">Bonus roll</t>
  </si>
  <si>
    <t xml:space="preserve">Actions with a drop table make ONE extra cascading roll (sheet 'Drop tables'); at most one item. Ring depth does not apply.</t>
  </si>
  <si>
    <t xml:space="preserve">Chains</t>
  </si>
  <si>
    <t xml:space="preserve">Completing an encounter can create a temporary lead next to it (sheet 'Chains'). Leads are not part of the spawn roll.</t>
  </si>
  <si>
    <t xml:space="preserve">Sites</t>
  </si>
  <si>
    <t xml:space="preserve">A site's own encounters are drawn from its bucket by base weight (region % does not apply), each at most once, on top of the wild spots.</t>
  </si>
  <si>
    <t xml:space="preserve">Sheets</t>
  </si>
  <si>
    <t xml:space="preserve">Encounters</t>
  </si>
  <si>
    <t xml:space="preserve">Every spot and lead: tier, weight, unlock, regions, caps, fight HP, drops.</t>
  </si>
  <si>
    <t xml:space="preserve">Spawn odds</t>
  </si>
  <si>
    <t xml:space="preserve">Chance per spot draw in each region, with an 'Unlocked' switch per encounter.</t>
  </si>
  <si>
    <t xml:space="preserve">Regions</t>
  </si>
  <si>
    <t xml:space="preserve">Region weight % per encounter (0 = never there).</t>
  </si>
  <si>
    <t xml:space="preserve">Tiers</t>
  </si>
  <si>
    <t xml:space="preserve">Tier odds and full weights for encounter spots.</t>
  </si>
  <si>
    <t xml:space="preserve">Guaranteed/independent drops per action.</t>
  </si>
  <si>
    <t xml:space="preserve">Drop tables</t>
  </si>
  <si>
    <t xml:space="preserve">Bonus-roll tables, tier odds, picks, and each item's exact chance per table.</t>
  </si>
  <si>
    <t xml:space="preserve">Bonus drops</t>
  </si>
  <si>
    <t xml:space="preserve">Each action's bonus items with chance and expected ash per completion.</t>
  </si>
  <si>
    <t xml:space="preserve">Current chained encounters plus a blank table for chain ideas.</t>
  </si>
  <si>
    <t xml:space="preserve">Landmark sites: where they can appear, how often, and their own encounters.</t>
  </si>
  <si>
    <t xml:space="preserve">Site encounters</t>
  </si>
  <si>
    <t xml:space="preserve">Inside each site: how likely each of its encounters is to show up in a life, and what it gives.</t>
  </si>
  <si>
    <t xml:space="preserve">Biomes &amp; enemies</t>
  </si>
  <si>
    <t xml:space="preserve">Biomes, region layout (canopy, brush, which sites can appear) and enemy danger by ring.</t>
  </si>
  <si>
    <t xml:space="preserve">Crafts &amp; buildings</t>
  </si>
  <si>
    <t xml:space="preserve">Every craft and building: where it can be made, cost, result, gate and bind cost.</t>
  </si>
  <si>
    <t xml:space="preserve">Carry load</t>
  </si>
  <si>
    <t xml:space="preserve">How carried items slow walking, eased by Endurance and Strength.</t>
  </si>
  <si>
    <t xml:space="preserve">Items</t>
  </si>
  <si>
    <t xml:space="preserve">Every item: kind, rarity, food, ash value.</t>
  </si>
  <si>
    <t xml:space="preserve">Exhaustion</t>
  </si>
  <si>
    <t xml:space="preserve">How harvesting thins out an area for the rest of the life, per kind of resource.</t>
  </si>
  <si>
    <t xml:space="preserve">Site conditions</t>
  </si>
  <si>
    <t xml:space="preserve">How a landmark is this life (quiet, already searched, untouched, a den, overgrown) and the rare phenomena.</t>
  </si>
  <si>
    <t xml:space="preserve">Encounter tier odds</t>
  </si>
  <si>
    <t xml:space="preserve">Basis points in the catalog; shown here as %. The fallback tier (common) has no odds: it catches misses.</t>
  </si>
  <si>
    <t xml:space="preserve">Tier</t>
  </si>
  <si>
    <t xml:space="preserve">Spot odds</t>
  </si>
  <si>
    <t xml:space="preserve">Full weight</t>
  </si>
  <si>
    <t xml:space="preserve">Color</t>
  </si>
  <si>
    <t xml:space="preserve">Notes</t>
  </si>
  <si>
    <t xml:space="preserve">rare</t>
  </si>
  <si>
    <t xml:space="preserve">#7fb4ff</t>
  </si>
  <si>
    <t xml:space="preserve">No rare encounters exist yet: the tier is skipped.</t>
  </si>
  <si>
    <t xml:space="preserve">uncommon</t>
  </si>
  <si>
    <t xml:space="preserve">#8fd17a</t>
  </si>
  <si>
    <t xml:space="preserve">Full odds once this much uncommon weight is eligible here.</t>
  </si>
  <si>
    <t xml:space="preserve">common</t>
  </si>
  <si>
    <t xml:space="preserve">fallback</t>
  </si>
  <si>
    <t xml:space="preserve">-</t>
  </si>
  <si>
    <t xml:space="preserve">#e7d7b0</t>
  </si>
  <si>
    <t xml:space="preserve">Tier cap</t>
  </si>
  <si>
    <t xml:space="preserve">Ring (depth)</t>
  </si>
  <si>
    <t xml:space="preserve">ring of the chunk being rolled</t>
  </si>
  <si>
    <t xml:space="preserve">Rarity per ring</t>
  </si>
  <si>
    <t xml:space="preserve">dark_forest.spot_rarity_per_ring (0 = depth does not change odds)</t>
  </si>
  <si>
    <t xml:space="preserve">Ring multiplier</t>
  </si>
  <si>
    <t xml:space="preserve">Spots are rolled into chunks; leads only appear through a chain (see Chains); site encounters only inside their landmark (see Sites).</t>
  </si>
  <si>
    <t xml:space="preserve">ID</t>
  </si>
  <si>
    <t xml:space="preserve">Name</t>
  </si>
  <si>
    <t xml:space="preserve">Placement</t>
  </si>
  <si>
    <t xml:space="preserve">Category</t>
  </si>
  <si>
    <t xml:space="preserve">Base weight</t>
  </si>
  <si>
    <t xml:space="preserve">Unlock (cost)</t>
  </si>
  <si>
    <t xml:space="preserve">Needs knowledge</t>
  </si>
  <si>
    <t xml:space="preserve">Allowed regions</t>
  </si>
  <si>
    <t xml:space="preserve">Next to</t>
  </si>
  <si>
    <t xml:space="preserve">At-once cap</t>
  </si>
  <si>
    <t xml:space="preserve">Enemy HP</t>
  </si>
  <si>
    <t xml:space="preserve">XP</t>
  </si>
  <si>
    <t xml:space="preserve">Duration (s)</t>
  </si>
  <si>
    <t xml:space="preserve">Heal</t>
  </si>
  <si>
    <t xml:space="preserve">Blessing</t>
  </si>
  <si>
    <t xml:space="preserve">Bonus table</t>
  </si>
  <si>
    <t xml:space="preserve">Leads to</t>
  </si>
  <si>
    <t xml:space="preserve">Interaction (what you do)</t>
  </si>
  <si>
    <t xml:space="preserve">Depletes nearby</t>
  </si>
  <si>
    <t xml:space="preserve">bramble_berries</t>
  </si>
  <si>
    <t xml:space="preserve">Berry bush</t>
  </si>
  <si>
    <t xml:space="preserve">spot</t>
  </si>
  <si>
    <t xml:space="preserve">forage</t>
  </si>
  <si>
    <t xml:space="preserve">start</t>
  </si>
  <si>
    <t xml:space="preserve">all</t>
  </si>
  <si>
    <t xml:space="preserve">1-2</t>
  </si>
  <si>
    <t xml:space="preserve">trampled_bushes (15%)</t>
  </si>
  <si>
    <t xml:space="preserve">Picking berries</t>
  </si>
  <si>
    <t xml:space="preserve">berries</t>
  </si>
  <si>
    <t xml:space="preserve">fallen_branches</t>
  </si>
  <si>
    <t xml:space="preserve">Fallen branches</t>
  </si>
  <si>
    <t xml:space="preserve">gather</t>
  </si>
  <si>
    <t xml:space="preserve">The Old Road, Deep Woods, Bramble Thicket</t>
  </si>
  <si>
    <t xml:space="preserve">no cap</t>
  </si>
  <si>
    <t xml:space="preserve">broken_branches (15%)</t>
  </si>
  <si>
    <t xml:space="preserve">Picking up sticks</t>
  </si>
  <si>
    <t xml:space="preserve">wood</t>
  </si>
  <si>
    <t xml:space="preserve">animal_tracks</t>
  </si>
  <si>
    <t xml:space="preserve">Animal tracks</t>
  </si>
  <si>
    <t xml:space="preserve">observe</t>
  </si>
  <si>
    <t xml:space="preserve">Deep Woods, Still Glade</t>
  </si>
  <si>
    <t xml:space="preserve">follow_deer_tracks (30%)</t>
  </si>
  <si>
    <t xml:space="preserve">Looking at the tracks</t>
  </si>
  <si>
    <t xml:space="preserve">game</t>
  </si>
  <si>
    <t xml:space="preserve">forest_spring</t>
  </si>
  <si>
    <t xml:space="preserve">Forest spring</t>
  </si>
  <si>
    <t xml:space="preserve">drink</t>
  </si>
  <si>
    <t xml:space="preserve">fresh_footprints (8%)</t>
  </si>
  <si>
    <t xml:space="preserve">Drinking water</t>
  </si>
  <si>
    <t xml:space="preserve">reed_bed</t>
  </si>
  <si>
    <t xml:space="preserve">Reeds</t>
  </si>
  <si>
    <t xml:space="preserve">fish_scales (30%)</t>
  </si>
  <si>
    <t xml:space="preserve">Searching the reeds</t>
  </si>
  <si>
    <t xml:space="preserve">fishing_pool</t>
  </si>
  <si>
    <t xml:space="preserve">Fishing pool</t>
  </si>
  <si>
    <t xml:space="preserve">hunt</t>
  </si>
  <si>
    <t xml:space="preserve">0-2</t>
  </si>
  <si>
    <t xml:space="preserve">lurker_burrow (10%)</t>
  </si>
  <si>
    <t xml:space="preserve">Fishing</t>
  </si>
  <si>
    <t xml:space="preserve">fish</t>
  </si>
  <si>
    <t xml:space="preserve">river_shallows</t>
  </si>
  <si>
    <t xml:space="preserve">Shallows</t>
  </si>
  <si>
    <t xml:space="preserve">ripples (35%)</t>
  </si>
  <si>
    <t xml:space="preserve">Looking into the water</t>
  </si>
  <si>
    <t xml:space="preserve">fishing_net</t>
  </si>
  <si>
    <t xml:space="preserve">Old fishing net</t>
  </si>
  <si>
    <t xml:space="preserve">scavenge</t>
  </si>
  <si>
    <t xml:space="preserve">0-1</t>
  </si>
  <si>
    <t xml:space="preserve">float_line (35%)</t>
  </si>
  <si>
    <t xml:space="preserve">Untangling the net</t>
  </si>
  <si>
    <t xml:space="preserve">river_lurker</t>
  </si>
  <si>
    <t xml:space="preserve">River lurker</t>
  </si>
  <si>
    <t xml:space="preserve">fight</t>
  </si>
  <si>
    <t xml:space="preserve">lurker_spoils</t>
  </si>
  <si>
    <t xml:space="preserve">Fighting the lurker</t>
  </si>
  <si>
    <t xml:space="preserve">bramble_boar</t>
  </si>
  <si>
    <t xml:space="preserve">Wild boar</t>
  </si>
  <si>
    <t xml:space="preserve">boar_spoils</t>
  </si>
  <si>
    <t xml:space="preserve">Fighting the boar</t>
  </si>
  <si>
    <t xml:space="preserve">gnarled_tree</t>
  </si>
  <si>
    <t xml:space="preserve">Old tree</t>
  </si>
  <si>
    <t xml:space="preserve">climb</t>
  </si>
  <si>
    <t xml:space="preserve">Climbing (15 ash)</t>
  </si>
  <si>
    <t xml:space="preserve">tree</t>
  </si>
  <si>
    <t xml:space="preserve">1-1</t>
  </si>
  <si>
    <t xml:space="preserve">Climbing for eggs</t>
  </si>
  <si>
    <t xml:space="preserve">eggs</t>
  </si>
  <si>
    <t xml:space="preserve">dead_tree</t>
  </si>
  <si>
    <t xml:space="preserve">Dead tree</t>
  </si>
  <si>
    <t xml:space="preserve">Chopping the dead tree</t>
  </si>
  <si>
    <t xml:space="preserve">mushroom_ring</t>
  </si>
  <si>
    <t xml:space="preserve">Mushrooms</t>
  </si>
  <si>
    <t xml:space="preserve">Mushroom lore (45 ash)</t>
  </si>
  <si>
    <t xml:space="preserve">Deep Woods</t>
  </si>
  <si>
    <t xml:space="preserve">mushroom_dust (20%)</t>
  </si>
  <si>
    <t xml:space="preserve">Picking mushrooms</t>
  </si>
  <si>
    <t xml:space="preserve">fungi</t>
  </si>
  <si>
    <t xml:space="preserve">mossy_stone</t>
  </si>
  <si>
    <t xml:space="preserve">Mossy rock</t>
  </si>
  <si>
    <t xml:space="preserve">meditate</t>
  </si>
  <si>
    <t xml:space="preserve">Meditation (30 ash)</t>
  </si>
  <si>
    <t xml:space="preserve">rock</t>
  </si>
  <si>
    <t xml:space="preserve">double_shadow (12%)</t>
  </si>
  <si>
    <t xml:space="preserve">Resting by the rock</t>
  </si>
  <si>
    <t xml:space="preserve">hanging_leaf</t>
  </si>
  <si>
    <t xml:space="preserve">Hanging leaf</t>
  </si>
  <si>
    <t xml:space="preserve">Watching the leaf</t>
  </si>
  <si>
    <t xml:space="preserve">backward_ripple</t>
  </si>
  <si>
    <t xml:space="preserve">Backward ripple</t>
  </si>
  <si>
    <t xml:space="preserve">Watching the water</t>
  </si>
  <si>
    <t xml:space="preserve">moonlit_pool</t>
  </si>
  <si>
    <t xml:space="preserve">Clear pool</t>
  </si>
  <si>
    <t xml:space="preserve">old_carvings</t>
  </si>
  <si>
    <t xml:space="preserve">Old carvings</t>
  </si>
  <si>
    <t xml:space="preserve">study</t>
  </si>
  <si>
    <t xml:space="preserve">Road lore (70 ash)</t>
  </si>
  <si>
    <t xml:space="preserve">trail_marker (30%)</t>
  </si>
  <si>
    <t xml:space="preserve">Reading the carvings</t>
  </si>
  <si>
    <t xml:space="preserve">wayside_shrine</t>
  </si>
  <si>
    <t xml:space="preserve">Roadside shrine</t>
  </si>
  <si>
    <t xml:space="preserve">pray</t>
  </si>
  <si>
    <t xml:space="preserve">Shrine path (3 blessing)</t>
  </si>
  <si>
    <t xml:space="preserve">The Old Road</t>
  </si>
  <si>
    <t xml:space="preserve">Praying at the shrine</t>
  </si>
  <si>
    <t xml:space="preserve">follow_deer_tracks</t>
  </si>
  <si>
    <t xml:space="preserve">Deer tracks</t>
  </si>
  <si>
    <t xml:space="preserve">lead</t>
  </si>
  <si>
    <t xml:space="preserve">deer_sign</t>
  </si>
  <si>
    <t xml:space="preserve">hunt_deer (55%)</t>
  </si>
  <si>
    <t xml:space="preserve">Following the tracks</t>
  </si>
  <si>
    <t xml:space="preserve">hunt_deer</t>
  </si>
  <si>
    <t xml:space="preserve">Deer</t>
  </si>
  <si>
    <t xml:space="preserve">deer_spoils</t>
  </si>
  <si>
    <t xml:space="preserve">Hunting the deer</t>
  </si>
  <si>
    <t xml:space="preserve">broken_branches</t>
  </si>
  <si>
    <t xml:space="preserve">Broken branches</t>
  </si>
  <si>
    <t xml:space="preserve">cut_wood (55%)</t>
  </si>
  <si>
    <t xml:space="preserve">Looking at the broken branches</t>
  </si>
  <si>
    <t xml:space="preserve">cut_wood</t>
  </si>
  <si>
    <t xml:space="preserve">Cut wood</t>
  </si>
  <si>
    <t xml:space="preserve">wood_stash</t>
  </si>
  <si>
    <t xml:space="preserve">Taking the wood</t>
  </si>
  <si>
    <t xml:space="preserve">trampled_bushes</t>
  </si>
  <si>
    <t xml:space="preserve">Trampled bushes</t>
  </si>
  <si>
    <t xml:space="preserve">feeding_ground (50%), angry_boar (25%)</t>
  </si>
  <si>
    <t xml:space="preserve">Looking at the marks</t>
  </si>
  <si>
    <t xml:space="preserve">feeding_ground</t>
  </si>
  <si>
    <t xml:space="preserve">Feeding ground</t>
  </si>
  <si>
    <t xml:space="preserve">Picking what is left</t>
  </si>
  <si>
    <t xml:space="preserve">angry_boar</t>
  </si>
  <si>
    <t xml:space="preserve">Angry boar</t>
  </si>
  <si>
    <t xml:space="preserve">mushroom_dust</t>
  </si>
  <si>
    <t xml:space="preserve">Mushroom dust</t>
  </si>
  <si>
    <t xml:space="preserve">rotten_log (60%)</t>
  </si>
  <si>
    <t xml:space="preserve">Following the dust</t>
  </si>
  <si>
    <t xml:space="preserve">rotten_log</t>
  </si>
  <si>
    <t xml:space="preserve">Rotten log</t>
  </si>
  <si>
    <t xml:space="preserve">trail_marker</t>
  </si>
  <si>
    <t xml:space="preserve">Odd trail marker</t>
  </si>
  <si>
    <t xml:space="preserve">looping_path (50%)</t>
  </si>
  <si>
    <t xml:space="preserve">Comparing the marks</t>
  </si>
  <si>
    <t xml:space="preserve">looping_path</t>
  </si>
  <si>
    <t xml:space="preserve">Looping path</t>
  </si>
  <si>
    <t xml:space="preserve">Walking the loop</t>
  </si>
  <si>
    <t xml:space="preserve">map_scrap</t>
  </si>
  <si>
    <t xml:space="preserve">Hand-drawn map</t>
  </si>
  <si>
    <t xml:space="preserve">hidden_stash (60%)</t>
  </si>
  <si>
    <t xml:space="preserve">Reading the map</t>
  </si>
  <si>
    <t xml:space="preserve">hidden_stash</t>
  </si>
  <si>
    <t xml:space="preserve">Hidden stash</t>
  </si>
  <si>
    <t xml:space="preserve">Digging up the stash</t>
  </si>
  <si>
    <t xml:space="preserve">fish_scales</t>
  </si>
  <si>
    <t xml:space="preserve">Fish scales</t>
  </si>
  <si>
    <t xml:space="preserve">busy_pool (50%), lurker_burrow (20%)</t>
  </si>
  <si>
    <t xml:space="preserve">Following the scales</t>
  </si>
  <si>
    <t xml:space="preserve">busy_pool</t>
  </si>
  <si>
    <t xml:space="preserve">Busy pool</t>
  </si>
  <si>
    <t xml:space="preserve">ripples</t>
  </si>
  <si>
    <t xml:space="preserve">Ripples</t>
  </si>
  <si>
    <t xml:space="preserve">lurker_burrow (50%)</t>
  </si>
  <si>
    <t xml:space="preserve">Watching the ripples</t>
  </si>
  <si>
    <t xml:space="preserve">lurker_burrow</t>
  </si>
  <si>
    <t xml:space="preserve">float_line</t>
  </si>
  <si>
    <t xml:space="preserve">Torn float line</t>
  </si>
  <si>
    <t xml:space="preserve">fishing_platform (60%)</t>
  </si>
  <si>
    <t xml:space="preserve">Following the line</t>
  </si>
  <si>
    <t xml:space="preserve">fishing_platform</t>
  </si>
  <si>
    <t xml:space="preserve">Broken fishing platform</t>
  </si>
  <si>
    <t xml:space="preserve">Pulling up the planks</t>
  </si>
  <si>
    <t xml:space="preserve">bootprints</t>
  </si>
  <si>
    <t xml:space="preserve">Muddy bootprints</t>
  </si>
  <si>
    <t xml:space="preserve">fishing_camp (50%)</t>
  </si>
  <si>
    <t xml:space="preserve">Following the bootprints</t>
  </si>
  <si>
    <t xml:space="preserve">fishing_camp</t>
  </si>
  <si>
    <t xml:space="preserve">Fishing camp</t>
  </si>
  <si>
    <t xml:space="preserve">Searching the camp</t>
  </si>
  <si>
    <t xml:space="preserve">fresh_footprints</t>
  </si>
  <si>
    <t xml:space="preserve">Fresh footprints</t>
  </si>
  <si>
    <t xml:space="preserve">hidden_ford (55%)</t>
  </si>
  <si>
    <t xml:space="preserve">Following the footprints</t>
  </si>
  <si>
    <t xml:space="preserve">double_shadow</t>
  </si>
  <si>
    <t xml:space="preserve">Double shadow</t>
  </si>
  <si>
    <t xml:space="preserve">split_shadow_tree (60%)</t>
  </si>
  <si>
    <t xml:space="preserve">Following the shadow</t>
  </si>
  <si>
    <t xml:space="preserve">split_shadow_tree</t>
  </si>
  <si>
    <t xml:space="preserve">Split-shadow tree</t>
  </si>
  <si>
    <t xml:space="preserve">Standing between the shadows</t>
  </si>
  <si>
    <t xml:space="preserve">hidden_ford</t>
  </si>
  <si>
    <t xml:space="preserve">Hidden ford</t>
  </si>
  <si>
    <t xml:space="preserve">lurker_burrow (25%)</t>
  </si>
  <si>
    <t xml:space="preserve">Crossing the stones</t>
  </si>
  <si>
    <t xml:space="preserve">camp_packs</t>
  </si>
  <si>
    <t xml:space="preserve">Old backpacks</t>
  </si>
  <si>
    <t xml:space="preserve">site</t>
  </si>
  <si>
    <t xml:space="preserve">Scavenging (20 ash)</t>
  </si>
  <si>
    <t xml:space="preserve">Abandoned camp</t>
  </si>
  <si>
    <t xml:space="preserve">traveller_cache</t>
  </si>
  <si>
    <t xml:space="preserve">map_scrap (35%)</t>
  </si>
  <si>
    <t xml:space="preserve">Searching the bags</t>
  </si>
  <si>
    <t xml:space="preserve">camp_firepit</t>
  </si>
  <si>
    <t xml:space="preserve">Old campfire</t>
  </si>
  <si>
    <t xml:space="preserve">bootprints (35%)</t>
  </si>
  <si>
    <t xml:space="preserve">Searching the ashes</t>
  </si>
  <si>
    <t xml:space="preserve">camp_bedroll</t>
  </si>
  <si>
    <t xml:space="preserve">Torn blanket</t>
  </si>
  <si>
    <t xml:space="preserve">Pulling out the stuffing</t>
  </si>
  <si>
    <t xml:space="preserve">tower_rubble</t>
  </si>
  <si>
    <t xml:space="preserve">Fallen stones</t>
  </si>
  <si>
    <t xml:space="preserve">Fallen watchtower</t>
  </si>
  <si>
    <t xml:space="preserve">Digging through the stones</t>
  </si>
  <si>
    <t xml:space="preserve">tower_stair</t>
  </si>
  <si>
    <t xml:space="preserve">Broken stairs</t>
  </si>
  <si>
    <t xml:space="preserve">Climbing the stairs</t>
  </si>
  <si>
    <t xml:space="preserve">tower_armory</t>
  </si>
  <si>
    <t xml:space="preserve">Old weapon rack</t>
  </si>
  <si>
    <t xml:space="preserve">Pulling out nails</t>
  </si>
  <si>
    <t xml:space="preserve">tower_marks</t>
  </si>
  <si>
    <t xml:space="preserve">Scratched warnings</t>
  </si>
  <si>
    <t xml:space="preserve">Reading the warnings</t>
  </si>
  <si>
    <t xml:space="preserve">lumber_logs</t>
  </si>
  <si>
    <t xml:space="preserve">Log pile</t>
  </si>
  <si>
    <t xml:space="preserve">Logging camp</t>
  </si>
  <si>
    <t xml:space="preserve">Breaking off sticks</t>
  </si>
  <si>
    <t xml:space="preserve">lumber_shed</t>
  </si>
  <si>
    <t xml:space="preserve">Tool shed</t>
  </si>
  <si>
    <t xml:space="preserve">Searching the shed</t>
  </si>
  <si>
    <t xml:space="preserve">lumber_oak</t>
  </si>
  <si>
    <t xml:space="preserve">Fallen tree</t>
  </si>
  <si>
    <t xml:space="preserve">Climbing the branches</t>
  </si>
  <si>
    <t xml:space="preserve">lodge_racks</t>
  </si>
  <si>
    <t xml:space="preserve">Hide racks</t>
  </si>
  <si>
    <t xml:space="preserve">Snares (25 ash)</t>
  </si>
  <si>
    <t xml:space="preserve">Hunter's cabin</t>
  </si>
  <si>
    <t xml:space="preserve">Taking the hides</t>
  </si>
  <si>
    <t xml:space="preserve">lodge_snares</t>
  </si>
  <si>
    <t xml:space="preserve">Old traps</t>
  </si>
  <si>
    <t xml:space="preserve">Checking the traps</t>
  </si>
  <si>
    <t xml:space="preserve">lodge_trophies</t>
  </si>
  <si>
    <t xml:space="preserve">Antler wall</t>
  </si>
  <si>
    <t xml:space="preserve">hunter_trophies</t>
  </si>
  <si>
    <t xml:space="preserve">Taking down the antlers</t>
  </si>
  <si>
    <t xml:space="preserve">shrine_altar</t>
  </si>
  <si>
    <t xml:space="preserve">Broken altar</t>
  </si>
  <si>
    <t xml:space="preserve">Ruined shrine</t>
  </si>
  <si>
    <t xml:space="preserve">Praying at the altar</t>
  </si>
  <si>
    <t xml:space="preserve">shrine_offerings</t>
  </si>
  <si>
    <t xml:space="preserve">Coin bowls</t>
  </si>
  <si>
    <t xml:space="preserve">Taking the coins</t>
  </si>
  <si>
    <t xml:space="preserve">shrine_pillars</t>
  </si>
  <si>
    <t xml:space="preserve">Carved pillars</t>
  </si>
  <si>
    <t xml:space="preserve">Studying the carvings</t>
  </si>
  <si>
    <t xml:space="preserve">barrow_goods</t>
  </si>
  <si>
    <t xml:space="preserve">Old grave</t>
  </si>
  <si>
    <t xml:space="preserve">Burial mound</t>
  </si>
  <si>
    <t xml:space="preserve">barrow_hoard</t>
  </si>
  <si>
    <t xml:space="preserve">Digging in the grave</t>
  </si>
  <si>
    <t xml:space="preserve">barrow_stones</t>
  </si>
  <si>
    <t xml:space="preserve">Stone circle</t>
  </si>
  <si>
    <t xml:space="preserve">Sitting in the circle</t>
  </si>
  <si>
    <t xml:space="preserve">barrow_bones</t>
  </si>
  <si>
    <t xml:space="preserve">Bone pile</t>
  </si>
  <si>
    <t xml:space="preserve">Searching the bones</t>
  </si>
  <si>
    <t xml:space="preserve">barrow_dead</t>
  </si>
  <si>
    <t xml:space="preserve">Restless bones</t>
  </si>
  <si>
    <t xml:space="preserve">bones_spoils</t>
  </si>
  <si>
    <t xml:space="preserve">Fighting the bones</t>
  </si>
  <si>
    <t xml:space="preserve">tower_guard</t>
  </si>
  <si>
    <t xml:space="preserve">Fallen guard</t>
  </si>
  <si>
    <t xml:space="preserve">Fighting the guard</t>
  </si>
  <si>
    <t xml:space="preserve">shrine_wisp</t>
  </si>
  <si>
    <t xml:space="preserve">Pale wisp</t>
  </si>
  <si>
    <t xml:space="preserve">Scattering the wisp</t>
  </si>
  <si>
    <t xml:space="preserve">Landmark sites</t>
  </si>
  <si>
    <t xml:space="preserve">One candidate chunk per 3x3 block rolls once against these per-mille weights (by its region).</t>
  </si>
  <si>
    <t xml:space="preserve">Site</t>
  </si>
  <si>
    <t xml:space="preserve">Structure</t>
  </si>
  <si>
    <t xml:space="preserve">Min ring</t>
  </si>
  <si>
    <t xml:space="preserve">Encounters per life</t>
  </si>
  <si>
    <t xml:space="preserve">Chance · The Old Road</t>
  </si>
  <si>
    <t xml:space="preserve">Chance · Deep Woods</t>
  </si>
  <si>
    <t xml:space="preserve">Chance · Bramble Thicket</t>
  </si>
  <si>
    <t xml:space="preserve">Chance · Still Glade</t>
  </si>
  <si>
    <t xml:space="preserve">Its encounters</t>
  </si>
  <si>
    <t xml:space="preserve">camp</t>
  </si>
  <si>
    <t xml:space="preserve">2-3</t>
  </si>
  <si>
    <t xml:space="preserve">Old backpacks, Old campfire, Torn blanket</t>
  </si>
  <si>
    <t xml:space="preserve">tower</t>
  </si>
  <si>
    <t xml:space="preserve">2-4</t>
  </si>
  <si>
    <t xml:space="preserve">Fallen stones, Broken stairs, Old weapon rack, Scratched warnings, Fallen guard</t>
  </si>
  <si>
    <t xml:space="preserve">lumber</t>
  </si>
  <si>
    <t xml:space="preserve">Log pile, Tool shed, Fallen tree</t>
  </si>
  <si>
    <t xml:space="preserve">lodge</t>
  </si>
  <si>
    <t xml:space="preserve">Hide racks, Old traps, Antler wall</t>
  </si>
  <si>
    <t xml:space="preserve">shrine</t>
  </si>
  <si>
    <t xml:space="preserve">Broken altar, Coin bowls, Carved pillars, Pale wisp</t>
  </si>
  <si>
    <t xml:space="preserve">barrow</t>
  </si>
  <si>
    <t xml:space="preserve">Old grave, Stone circle, Bone pile, Restless bones</t>
  </si>
  <si>
    <t xml:space="preserve">Chance a block holds a site</t>
  </si>
  <si>
    <t xml:space="preserve">Roughly one site per this many chunks</t>
  </si>
  <si>
    <t xml:space="preserve">Each life a site draws 'Min-Max' of its encounters (count uniform), by weight, each at most once. Assumes all of them are unlocked; a locked one simply drops out of the draw.</t>
  </si>
  <si>
    <t xml:space="preserve">Min</t>
  </si>
  <si>
    <t xml:space="preserve">Max</t>
  </si>
  <si>
    <t xml:space="preserve">structure: camp · min ring 2 · uncommon</t>
  </si>
  <si>
    <t xml:space="preserve">Weight (Encounters sheet)</t>
  </si>
  <si>
    <t xml:space="preserve">P(1st pick)</t>
  </si>
  <si>
    <t xml:space="preserve">P(2nd pick)</t>
  </si>
  <si>
    <t xml:space="preserve">P(3rd pick)</t>
  </si>
  <si>
    <t xml:space="preserve">P(4th pick)</t>
  </si>
  <si>
    <t xml:space="preserve">P(shows up in a life)</t>
  </si>
  <si>
    <t xml:space="preserve">Unlock</t>
  </si>
  <si>
    <t xml:space="preserve">Other</t>
  </si>
  <si>
    <t xml:space="preserve">Stick 1-2, Cloth scrap 1-2 (70%)</t>
  </si>
  <si>
    <t xml:space="preserve">scavenge · strength 40 XP · 3.1s</t>
  </si>
  <si>
    <t xml:space="preserve">Coil of rope 1-1 (60%), Bramble thorn 1-1 (40%)</t>
  </si>
  <si>
    <t xml:space="preserve">scavenge · perception 35 XP · 2.6s</t>
  </si>
  <si>
    <t xml:space="preserve">Cloth scrap 1-3</t>
  </si>
  <si>
    <t xml:space="preserve">teaches padded_jerkin · scavenge · endurance 35 XP · 2.8s</t>
  </si>
  <si>
    <t xml:space="preserve">Check: picks per life</t>
  </si>
  <si>
    <t xml:space="preserve">structure: tower · min ring 3 · uncommon</t>
  </si>
  <si>
    <t xml:space="preserve">Iron nails 1-2 (80%), Stick 1-1</t>
  </si>
  <si>
    <t xml:space="preserve">scavenge · strength 45 XP · 3.4s</t>
  </si>
  <si>
    <t xml:space="preserve">Bird egg 1-1 (50%)</t>
  </si>
  <si>
    <t xml:space="preserve">climb · agility 60 XP · 3.6s</t>
  </si>
  <si>
    <t xml:space="preserve">Iron nails 2-3</t>
  </si>
  <si>
    <t xml:space="preserve">teaches studded_wrap · scavenge · strength 55 XP · 4s</t>
  </si>
  <si>
    <t xml:space="preserve">study · intelligence 75 XP · 4.2s</t>
  </si>
  <si>
    <t xml:space="preserve">Carved bone 1-1, Iron nails 1-1 (50%)</t>
  </si>
  <si>
    <t xml:space="preserve">fight · strength 90 XP · 0.001s</t>
  </si>
  <si>
    <t xml:space="preserve">structure: lumber · min ring 2 · uncommon</t>
  </si>
  <si>
    <t xml:space="preserve">Stick 2-3</t>
  </si>
  <si>
    <t xml:space="preserve">gather · strength 40 XP · 3s</t>
  </si>
  <si>
    <t xml:space="preserve">Coil of rope 1-1 (70%), Iron nails 1-2 (60%)</t>
  </si>
  <si>
    <t xml:space="preserve">teaches axe · scavenge · perception 45 XP · 3.2s</t>
  </si>
  <si>
    <t xml:space="preserve">Bird egg 1-2 (70%), Stick 1-2</t>
  </si>
  <si>
    <t xml:space="preserve">climb · agility 50 XP · 3s</t>
  </si>
  <si>
    <t xml:space="preserve">structure: lodge · min ring 3 · uncommon</t>
  </si>
  <si>
    <t xml:space="preserve">Boar hide 1-2, Coil of rope 1-1 (40%)</t>
  </si>
  <si>
    <t xml:space="preserve">Snared hare 1-1 (70%), Bramble thorn 1-2</t>
  </si>
  <si>
    <t xml:space="preserve">hunt · perception 45 XP · 3s</t>
  </si>
  <si>
    <t xml:space="preserve">teaches spear · scavenge · intelligence 55 XP · 3.6s</t>
  </si>
  <si>
    <t xml:space="preserve">structure: shrine · min ring 4 · rare</t>
  </si>
  <si>
    <t xml:space="preserve">+1 blessing · pray · willpower 60 XP · 4.2s</t>
  </si>
  <si>
    <t xml:space="preserve">scavenge · perception 50 XP · 3.2s</t>
  </si>
  <si>
    <t xml:space="preserve">study · intelligence 85 XP · 4.4s</t>
  </si>
  <si>
    <t xml:space="preserve">Tarnished coin 1-1 (50%)</t>
  </si>
  <si>
    <t xml:space="preserve">fight · willpower 90 XP · 0.001s</t>
  </si>
  <si>
    <t xml:space="preserve">structure: barrow · min ring 5 · rare</t>
  </si>
  <si>
    <t xml:space="preserve">Cloth scrap 1-2 (60%)</t>
  </si>
  <si>
    <t xml:space="preserve">scavenge · strength 60 XP · 4.2s</t>
  </si>
  <si>
    <t xml:space="preserve">heal 10 · meditate · willpower 70 XP · 4.6s</t>
  </si>
  <si>
    <t xml:space="preserve">Boar tusk 1-1 (30%), Stick 1-1</t>
  </si>
  <si>
    <t xml:space="preserve">observe · perception 50 XP · 3s</t>
  </si>
  <si>
    <t xml:space="preserve">Carved bone 1-2</t>
  </si>
  <si>
    <t xml:space="preserve">fight · strength 110 XP · 0.001s</t>
  </si>
  <si>
    <t xml:space="preserve">'Check' should equal the average of Min..Max (fewer if a site has fewer encounters than Max).</t>
  </si>
  <si>
    <t xml:space="preserve">Region weight %</t>
  </si>
  <si>
    <t xml:space="preserve">100 = unchanged, 0 = never here (includes 'Allowed regions'). Leads use this % on their lead chance.</t>
  </si>
  <si>
    <t xml:space="preserve">Bramble Thicket</t>
  </si>
  <si>
    <t xml:space="preserve">Still Glade</t>
  </si>
  <si>
    <t xml:space="preserve">Biomes, regions and enemies</t>
  </si>
  <si>
    <t xml:space="preserve">Regions are 3x3-chunk cells picked by weight (the anchor cell is always The Old Road). Danger grows with the ring (distance from the anchor, in chunks).</t>
  </si>
  <si>
    <t xml:space="preserve">Biome</t>
  </si>
  <si>
    <t xml:space="preserve">Enemy hit growth / ring</t>
  </si>
  <si>
    <t xml:space="preserve">Enemy HP / ring</t>
  </si>
  <si>
    <t xml:space="preserve">Danger stops at ring</t>
  </si>
  <si>
    <t xml:space="preserve">Spot rarity / ring</t>
  </si>
  <si>
    <t xml:space="preserve">Status</t>
  </si>
  <si>
    <t xml:space="preserve">dark_forest</t>
  </si>
  <si>
    <t xml:space="preserve">Dark forest</t>
  </si>
  <si>
    <t xml:space="preserve">in play</t>
  </si>
  <si>
    <t xml:space="preserve">ash_plain</t>
  </si>
  <si>
    <t xml:space="preserve">Ash plain</t>
  </si>
  <si>
    <t xml:space="preserve">terrain only, no regions or encounters yet</t>
  </si>
  <si>
    <t xml:space="preserve">Region</t>
  </si>
  <si>
    <t xml:space="preserve">Pick weight</t>
  </si>
  <si>
    <t xml:space="preserve">Share of cells</t>
  </si>
  <si>
    <t xml:space="preserve">Tree canopy %</t>
  </si>
  <si>
    <t xml:space="preserve">Brush %</t>
  </si>
  <si>
    <t xml:space="preserve">Look</t>
  </si>
  <si>
    <t xml:space="preserve">Sites that can appear (per-mille)</t>
  </si>
  <si>
    <t xml:space="preserve">old_road</t>
  </si>
  <si>
    <t xml:space="preserve">road</t>
  </si>
  <si>
    <t xml:space="preserve">Abandoned camp 350, Fallen watchtower 300, Logging camp 100, Burial mound 50</t>
  </si>
  <si>
    <t xml:space="preserve">deep_woods</t>
  </si>
  <si>
    <t xml:space="preserve">grove</t>
  </si>
  <si>
    <t xml:space="preserve">Abandoned camp 150, Fallen watchtower 150, Logging camp 200, Hunter's cabin 150, Ruined shrine 100, Burial mound 100</t>
  </si>
  <si>
    <t xml:space="preserve">bramble_thicket</t>
  </si>
  <si>
    <t xml:space="preserve">thicket</t>
  </si>
  <si>
    <t xml:space="preserve">Abandoned camp 150, Hunter's cabin 250, Burial mound 150</t>
  </si>
  <si>
    <t xml:space="preserve">still_glade</t>
  </si>
  <si>
    <t xml:space="preserve">glade</t>
  </si>
  <si>
    <t xml:space="preserve">Abandoned camp 100, Ruined shrine 250</t>
  </si>
  <si>
    <t xml:space="preserve">Enemies</t>
  </si>
  <si>
    <t xml:space="preserve">Enemy</t>
  </si>
  <si>
    <t xml:space="preserve">Fight spot</t>
  </si>
  <si>
    <t xml:space="preserve">Hit at ring 0</t>
  </si>
  <si>
    <t xml:space="preserve">HP at ring 0</t>
  </si>
  <si>
    <t xml:space="preserve">Charges within (steps)</t>
  </si>
  <si>
    <t xml:space="preserve">One step every (ms)</t>
  </si>
  <si>
    <t xml:space="preserve">Leash (tiles from home)</t>
  </si>
  <si>
    <t xml:space="preserve">angry_boar, bramble_boar</t>
  </si>
  <si>
    <t xml:space="preserve">none</t>
  </si>
  <si>
    <t xml:space="preserve">river_lurker, lurker_burrow</t>
  </si>
  <si>
    <t xml:space="preserve">restless_bones</t>
  </si>
  <si>
    <t xml:space="preserve">barrow_dead (Burial mound), tower_guard (Fallen watchtower)</t>
  </si>
  <si>
    <t xml:space="preserve">pale_wisp</t>
  </si>
  <si>
    <t xml:space="preserve">shrine_wisp (Ruined shrine)</t>
  </si>
  <si>
    <t xml:space="preserve">Danger by ring</t>
  </si>
  <si>
    <t xml:space="preserve">Health is 100. Hits shown at base Endurance (its speed divides them); the game rounds down.</t>
  </si>
  <si>
    <t xml:space="preserve">Ring</t>
  </si>
  <si>
    <t xml:space="preserve">Wild boar hit</t>
  </si>
  <si>
    <t xml:space="preserve">Wild boar HP</t>
  </si>
  <si>
    <t xml:space="preserve">River lurker hit</t>
  </si>
  <si>
    <t xml:space="preserve">River lurker HP</t>
  </si>
  <si>
    <t xml:space="preserve">Restless bones hit</t>
  </si>
  <si>
    <t xml:space="preserve">Restless bones HP</t>
  </si>
  <si>
    <t xml:space="preserve">Pale wisp hit</t>
  </si>
  <si>
    <t xml:space="preserve">Pale wisp HP</t>
  </si>
  <si>
    <t xml:space="preserve">Chance per spot draw, by region</t>
  </si>
  <si>
    <t xml:space="preserve">Set 'Unlocked' to 0 to model an earlier life. Chances are per spot; a chunk rolls about 1.5 spots.</t>
  </si>
  <si>
    <t xml:space="preserve">Encounter</t>
  </si>
  <si>
    <t xml:space="preserve">Unlocked</t>
  </si>
  <si>
    <t xml:space="preserve">Eff. weight</t>
  </si>
  <si>
    <t xml:space="preserve">Chance</t>
  </si>
  <si>
    <t xml:space="preserve">Tier summary</t>
  </si>
  <si>
    <t xml:space="preserve">Eligible weight · rare</t>
  </si>
  <si>
    <t xml:space="preserve">Eligible weight · uncommon</t>
  </si>
  <si>
    <t xml:space="preserve">Eligible weight · common</t>
  </si>
  <si>
    <t xml:space="preserve">Tier odds · rare</t>
  </si>
  <si>
    <t xml:space="preserve">Tier odds · uncommon</t>
  </si>
  <si>
    <t xml:space="preserve">P(spot is rare)</t>
  </si>
  <si>
    <t xml:space="preserve">P(spot is uncommon)</t>
  </si>
  <si>
    <t xml:space="preserve">P(spot is common)</t>
  </si>
  <si>
    <t xml:space="preserve">Check: chances sum</t>
  </si>
  <si>
    <t xml:space="preserve">The engine works in whole basis points, so in-game numbers can differ by about 0.1%.</t>
  </si>
  <si>
    <t xml:space="preserve">Each row rolls on its own every completion. Expected = chance x average amount.</t>
  </si>
  <si>
    <t xml:space="preserve">Action</t>
  </si>
  <si>
    <t xml:space="preserve">Item</t>
  </si>
  <si>
    <t xml:space="preserve">Expected per completion</t>
  </si>
  <si>
    <t xml:space="preserve">Ash per unit</t>
  </si>
  <si>
    <t xml:space="preserve">Expected ash</t>
  </si>
  <si>
    <t xml:space="preserve">wild_berries</t>
  </si>
  <si>
    <t xml:space="preserve">bramble_thorn</t>
  </si>
  <si>
    <t xml:space="preserve">stick</t>
  </si>
  <si>
    <t xml:space="preserve">venison</t>
  </si>
  <si>
    <t xml:space="preserve">boar_meat</t>
  </si>
  <si>
    <t xml:space="preserve">boar_hide</t>
  </si>
  <si>
    <t xml:space="preserve">pale_mushroom</t>
  </si>
  <si>
    <t xml:space="preserve">cloth_scrap</t>
  </si>
  <si>
    <t xml:space="preserve">rope</t>
  </si>
  <si>
    <t xml:space="preserve">bird_egg</t>
  </si>
  <si>
    <t xml:space="preserve">river_fish</t>
  </si>
  <si>
    <t xml:space="preserve">iron_nails</t>
  </si>
  <si>
    <t xml:space="preserve">snared_hare</t>
  </si>
  <si>
    <t xml:space="preserve">boar_tusk</t>
  </si>
  <si>
    <t xml:space="preserve">old_bone</t>
  </si>
  <si>
    <t xml:space="preserve">tarnished_coin</t>
  </si>
  <si>
    <t xml:space="preserve">craft_snare</t>
  </si>
  <si>
    <t xml:space="preserve">Bonus drop tables</t>
  </si>
  <si>
    <t xml:space="preserve">One cascading roll: rare first, then uncommon, else common (an empty common pool means nothing drops).</t>
  </si>
  <si>
    <t xml:space="preserve">Table</t>
  </si>
  <si>
    <t xml:space="preserve">Rare odds</t>
  </si>
  <si>
    <t xml:space="preserve">Uncommon odds</t>
  </si>
  <si>
    <t xml:space="preserve">Has rare pool</t>
  </si>
  <si>
    <t xml:space="preserve">Has uncommon pool</t>
  </si>
  <si>
    <t xml:space="preserve">Has common pool</t>
  </si>
  <si>
    <t xml:space="preserve">P(rare)</t>
  </si>
  <si>
    <t xml:space="preserve">P(uncommon)</t>
  </si>
  <si>
    <t xml:space="preserve">P(common)</t>
  </si>
  <si>
    <t xml:space="preserve">P(nothing)</t>
  </si>
  <si>
    <t xml:space="preserve">forest_trinkets</t>
  </si>
  <si>
    <t xml:space="preserve">Picks (one per tier pool entry; 'table:' rolls that whole table)</t>
  </si>
  <si>
    <t xml:space="preserve">Pick</t>
  </si>
  <si>
    <t xml:space="preserve">Weight</t>
  </si>
  <si>
    <t xml:space="preserve">Share in pool</t>
  </si>
  <si>
    <t xml:space="preserve">P(tier)</t>
  </si>
  <si>
    <t xml:space="preserve">Chance from this table</t>
  </si>
  <si>
    <t xml:space="preserve">amber_charm</t>
  </si>
  <si>
    <t xml:space="preserve">table:forest_trinkets</t>
  </si>
  <si>
    <t xml:space="preserve">deer_antler</t>
  </si>
  <si>
    <t xml:space="preserve">river_scales</t>
  </si>
  <si>
    <t xml:space="preserve">Each item's chance per table roll (nested tables included)</t>
  </si>
  <si>
    <t xml:space="preserve">Chance per roll</t>
  </si>
  <si>
    <t xml:space="preserve">Bonus drops by action</t>
  </si>
  <si>
    <t xml:space="preserve">One bonus roll per completion. Chance comes from the 'Drop tables' sheet.</t>
  </si>
  <si>
    <t xml:space="preserve">Item rarity</t>
  </si>
  <si>
    <t xml:space="preserve">Chance per completion</t>
  </si>
  <si>
    <t xml:space="preserve">Avg amount</t>
  </si>
  <si>
    <t xml:space="preserve">Expected ash per completion</t>
  </si>
  <si>
    <t xml:space="preserve">Chained encounters</t>
  </si>
  <si>
    <t xml:space="preserve">What completing an encounter can unlock or spawn next. Leads appear next to their source and expire.</t>
  </si>
  <si>
    <t xml:space="preserve">Source</t>
  </si>
  <si>
    <t xml:space="preserve">Outcome</t>
  </si>
  <si>
    <t xml:space="preserve">Target</t>
  </si>
  <si>
    <t xml:space="preserve">From completion #</t>
  </si>
  <si>
    <t xml:space="preserve">Base chance</t>
  </si>
  <si>
    <t xml:space="preserve">Lifetime (s)</t>
  </si>
  <si>
    <t xml:space="preserve">Chain from start (base)</t>
  </si>
  <si>
    <t xml:space="preserve">knowledge</t>
  </si>
  <si>
    <t xml:space="preserve">primitive_crafting</t>
  </si>
  <si>
    <t xml:space="preserve">note</t>
  </si>
  <si>
    <t xml:space="preserve">deer_gone</t>
  </si>
  <si>
    <t xml:space="preserve">branches_nowhere</t>
  </si>
  <si>
    <t xml:space="preserve">fed_and_gone</t>
  </si>
  <si>
    <t xml:space="preserve">dust_gone</t>
  </si>
  <si>
    <t xml:space="preserve">marker_wrong</t>
  </si>
  <si>
    <t xml:space="preserve">reveal</t>
  </si>
  <si>
    <t xml:space="preserve">area</t>
  </si>
  <si>
    <t xml:space="preserve">map_useless</t>
  </si>
  <si>
    <t xml:space="preserve">scales_gone</t>
  </si>
  <si>
    <t xml:space="preserve">just_current</t>
  </si>
  <si>
    <t xml:space="preserve">line_lost</t>
  </si>
  <si>
    <t xml:space="preserve">camp_looted</t>
  </si>
  <si>
    <t xml:space="preserve">prints_lost</t>
  </si>
  <si>
    <t xml:space="preserve">prints_washed</t>
  </si>
  <si>
    <t xml:space="preserve">shadow_gone</t>
  </si>
  <si>
    <t xml:space="preserve">shimmer</t>
  </si>
  <si>
    <t xml:space="preserve">split_shadow</t>
  </si>
  <si>
    <t xml:space="preserve">renew</t>
  </si>
  <si>
    <t xml:space="preserve">recipe</t>
  </si>
  <si>
    <t xml:space="preserve">padded_jerkin</t>
  </si>
  <si>
    <t xml:space="preserve">studded_wrap</t>
  </si>
  <si>
    <t xml:space="preserve">axe</t>
  </si>
  <si>
    <t xml:space="preserve">spear</t>
  </si>
  <si>
    <t xml:space="preserve">Chain ideas — fill in (one example row)</t>
  </si>
  <si>
    <t xml:space="preserve">Kinds: lead = temporary spot next to the source; shimmer = rare spots likelier in this region cell for the life; renew = lift that cell's exhaustion of one kind; boost = raise one target's odds nearby (proposed, not built yet).</t>
  </si>
  <si>
    <t xml:space="preserve">Kind</t>
  </si>
  <si>
    <t xml:space="preserve">Boost x</t>
  </si>
  <si>
    <t xml:space="preserve">Radius (chunks)</t>
  </si>
  <si>
    <t xml:space="preserve">Why</t>
  </si>
  <si>
    <t xml:space="preserve">abandoned_camp</t>
  </si>
  <si>
    <t xml:space="preserve">boost</t>
  </si>
  <si>
    <t xml:space="preserve">Travellers' camp hints at old marks nearby</t>
  </si>
  <si>
    <t xml:space="preserve">Crafts and buildings</t>
  </si>
  <si>
    <t xml:space="preserve">Crafts and buildings are made at the anchor camp (crafts need a crafting station); buildings fall when the life ends unless bound with ash. A campfire is made anywhere, once hurt and far away.</t>
  </si>
  <si>
    <t xml:space="preserve">Workplace</t>
  </si>
  <si>
    <t xml:space="preserve">Cost</t>
  </si>
  <si>
    <t xml:space="preserve">Result</t>
  </si>
  <si>
    <t xml:space="preserve">Gate</t>
  </si>
  <si>
    <t xml:space="preserve">Discipline</t>
  </si>
  <si>
    <t xml:space="preserve">Need order</t>
  </si>
  <si>
    <t xml:space="preserve">Bind cost (ash)</t>
  </si>
  <si>
    <t xml:space="preserve">build_station</t>
  </si>
  <si>
    <t xml:space="preserve">Build a crafting station</t>
  </si>
  <si>
    <t xml:space="preserve">build</t>
  </si>
  <si>
    <t xml:space="preserve">anchor camp</t>
  </si>
  <si>
    <t xml:space="preserve">12 stick, 2 boar hide</t>
  </si>
  <si>
    <t xml:space="preserve">Crafting station</t>
  </si>
  <si>
    <t xml:space="preserve">knowledge primitive_crafting</t>
  </si>
  <si>
    <t xml:space="preserve">Building</t>
  </si>
  <si>
    <t xml:space="preserve">build_chest</t>
  </si>
  <si>
    <t xml:space="preserve">Build a storage chest</t>
  </si>
  <si>
    <t xml:space="preserve">Crafting station (camp)</t>
  </si>
  <si>
    <t xml:space="preserve">10 stick, 4 iron nails, 2 coil of rope</t>
  </si>
  <si>
    <t xml:space="preserve">Storage chest</t>
  </si>
  <si>
    <t xml:space="preserve">craft_wrap</t>
  </si>
  <si>
    <t xml:space="preserve">Wrap boar hide</t>
  </si>
  <si>
    <t xml:space="preserve">craft</t>
  </si>
  <si>
    <t xml:space="preserve">2 boar hide</t>
  </si>
  <si>
    <t xml:space="preserve">Hide wrap</t>
  </si>
  <si>
    <t xml:space="preserve">unlock Hide working</t>
  </si>
  <si>
    <t xml:space="preserve">Endurance</t>
  </si>
  <si>
    <t xml:space="preserve">make_campfire</t>
  </si>
  <si>
    <t xml:space="preserve">Make a campfire</t>
  </si>
  <si>
    <t xml:space="preserve">anywhere</t>
  </si>
  <si>
    <t xml:space="preserve">3 stick</t>
  </si>
  <si>
    <t xml:space="preserve">a campfire (rest by it like at the anchor camp)</t>
  </si>
  <si>
    <t xml:space="preserve">when hurt far</t>
  </si>
  <si>
    <t xml:space="preserve">craft_studded</t>
  </si>
  <si>
    <t xml:space="preserve">Stud the hide wrap</t>
  </si>
  <si>
    <t xml:space="preserve">1 hide wrap, 3 iron nails</t>
  </si>
  <si>
    <t xml:space="preserve">Studded wrap</t>
  </si>
  <si>
    <t xml:space="preserve">knowledge primitive_crafting; recipe studded_wrap (Old weapon rack)</t>
  </si>
  <si>
    <t xml:space="preserve">Strength</t>
  </si>
  <si>
    <t xml:space="preserve">Set a bramble snare</t>
  </si>
  <si>
    <t xml:space="preserve">2 stick, 1 bramble thorn</t>
  </si>
  <si>
    <t xml:space="preserve">Snared hare 75%</t>
  </si>
  <si>
    <t xml:space="preserve">unlock Snares</t>
  </si>
  <si>
    <t xml:space="preserve">Perception</t>
  </si>
  <si>
    <t xml:space="preserve">craft_spear</t>
  </si>
  <si>
    <t xml:space="preserve">Make a spear</t>
  </si>
  <si>
    <t xml:space="preserve">1 walking staff, 2 iron nails, 1 coil of rope</t>
  </si>
  <si>
    <t xml:space="preserve">Spear</t>
  </si>
  <si>
    <t xml:space="preserve">knowledge primitive_crafting; recipe spear (Antler wall)</t>
  </si>
  <si>
    <t xml:space="preserve">craft_axe</t>
  </si>
  <si>
    <t xml:space="preserve">Make an axe</t>
  </si>
  <si>
    <t xml:space="preserve">1 walking staff, 3 iron nails</t>
  </si>
  <si>
    <t xml:space="preserve">Axe</t>
  </si>
  <si>
    <t xml:space="preserve">knowledge primitive_crafting; recipe axe (Tool shed)</t>
  </si>
  <si>
    <t xml:space="preserve">craft_jerkin</t>
  </si>
  <si>
    <t xml:space="preserve">Stitch a padded jerkin</t>
  </si>
  <si>
    <t xml:space="preserve">3 cloth scrap, 1 coil of rope</t>
  </si>
  <si>
    <t xml:space="preserve">Padded jerkin</t>
  </si>
  <si>
    <t xml:space="preserve">knowledge primitive_crafting; recipe padded_jerkin (Torn blanket)</t>
  </si>
  <si>
    <t xml:space="preserve">craft_staff</t>
  </si>
  <si>
    <t xml:space="preserve">Cut a walking staff</t>
  </si>
  <si>
    <t xml:space="preserve">5 stick</t>
  </si>
  <si>
    <t xml:space="preserve">Walking staff</t>
  </si>
  <si>
    <t xml:space="preserve">Buildings</t>
  </si>
  <si>
    <t xml:space="preserve">Function</t>
  </si>
  <si>
    <t xml:space="preserve">What it does</t>
  </si>
  <si>
    <t xml:space="preserve">crafting</t>
  </si>
  <si>
    <t xml:space="preserve">A workbench by the anchor stone. Every craft needs it, at the camp.</t>
  </si>
  <si>
    <t xml:space="preserve">storage</t>
  </si>
  <si>
    <t xml:space="preserve">Materials brought to the camp are stowed here. Once bound, they stay for later lives. Holds 6 stacks; the auto-pilot goes home to stow at 30 carried materials.</t>
  </si>
  <si>
    <t xml:space="preserve">'Need order': when several are possible, the lowest number is made first.</t>
  </si>
  <si>
    <t xml:space="preserve">Walking time in % of normal. Every carried unit beyond the free amount adds the per-item %, divided by the average Endurance/Strength speed, up to the cap.</t>
  </si>
  <si>
    <t xml:space="preserve">Free units</t>
  </si>
  <si>
    <t xml:space="preserve">+% per further unit</t>
  </si>
  <si>
    <t xml:space="preserve">Cap (+%)</t>
  </si>
  <si>
    <t xml:space="preserve">Carried units</t>
  </si>
  <si>
    <t xml:space="preserve">Walking time · End/Str speed x1.00</t>
  </si>
  <si>
    <t xml:space="preserve">Walking time · End/Str speed x1.25</t>
  </si>
  <si>
    <t xml:space="preserve">Walking time · End/Str speed x1.50</t>
  </si>
  <si>
    <t xml:space="preserve">Walking time · End/Str speed x2.00</t>
  </si>
  <si>
    <t xml:space="preserve">speed (edit)</t>
  </si>
  <si>
    <t xml:space="preserve">The game rounds down to whole percents. A full pack (12 stacks of 20) is 240 units.</t>
  </si>
  <si>
    <t xml:space="preserve">Local exhaustion</t>
  </si>
  <si>
    <t xml:space="preserve">Each harvest of a wild spot lowers that kind's spawn weight in its region cell (3x3 chunks) for the rest of the life, down to the floor. Resets every life.</t>
  </si>
  <si>
    <t xml:space="preserve">Floor (% kept)</t>
  </si>
  <si>
    <t xml:space="preserve">Step per harvest</t>
  </si>
  <si>
    <t xml:space="preserve">Wild spots of this kind</t>
  </si>
  <si>
    <t xml:space="preserve">After 0</t>
  </si>
  <si>
    <t xml:space="preserve">After 1</t>
  </si>
  <si>
    <t xml:space="preserve">After 2</t>
  </si>
  <si>
    <t xml:space="preserve">After 3</t>
  </si>
  <si>
    <t xml:space="preserve">After 4</t>
  </si>
  <si>
    <t xml:space="preserve">After 5</t>
  </si>
  <si>
    <t xml:space="preserve">After 6</t>
  </si>
  <si>
    <t xml:space="preserve">After 7</t>
  </si>
  <si>
    <t xml:space="preserve">After 8</t>
  </si>
  <si>
    <t xml:space="preserve">Fallen branches, Dead tree</t>
  </si>
  <si>
    <t xml:space="preserve">Spawn weight left (x the encounter's normal weight) after that many harvests in one cell. Leads, sites and enemies never deplete.</t>
  </si>
  <si>
    <t xml:space="preserve">Each landmark has one condition per life, picked by weight among those that fit its structure.</t>
  </si>
  <si>
    <t xml:space="preserve">Fits</t>
  </si>
  <si>
    <t xml:space="preserve">Adds in the clearing</t>
  </si>
  <si>
    <t xml:space="preserve">Site work time</t>
  </si>
  <si>
    <t xml:space="preserve">Shown to the player</t>
  </si>
  <si>
    <t xml:space="preserve">quiet</t>
  </si>
  <si>
    <t xml:space="preserve">Quiet</t>
  </si>
  <si>
    <t xml:space="preserve">any site</t>
  </si>
  <si>
    <t xml:space="preserve">as rolled</t>
  </si>
  <si>
    <t xml:space="preserve">yes</t>
  </si>
  <si>
    <t xml:space="preserve">Nothing has disturbed this place.</t>
  </si>
  <si>
    <t xml:space="preserve">picked_over</t>
  </si>
  <si>
    <t xml:space="preserve">Already searched</t>
  </si>
  <si>
    <t xml:space="preserve">-1</t>
  </si>
  <si>
    <t xml:space="preserve">no</t>
  </si>
  <si>
    <t xml:space="preserve">Someone has been through here already.</t>
  </si>
  <si>
    <t xml:space="preserve">untouched</t>
  </si>
  <si>
    <t xml:space="preserve">Untouched</t>
  </si>
  <si>
    <t xml:space="preserve">+1</t>
  </si>
  <si>
    <t xml:space="preserve">No one has been here in a long time.</t>
  </si>
  <si>
    <t xml:space="preserve">den</t>
  </si>
  <si>
    <t xml:space="preserve">Animal den</t>
  </si>
  <si>
    <t xml:space="preserve">camp, tower, lumber, lodge, barrow</t>
  </si>
  <si>
    <t xml:space="preserve">Something has made its den here.</t>
  </si>
  <si>
    <t xml:space="preserve">overgrown</t>
  </si>
  <si>
    <t xml:space="preserve">Overgrown</t>
  </si>
  <si>
    <t xml:space="preserve">camp, tower, lumber, lodge, shrine, barrow</t>
  </si>
  <si>
    <t xml:space="preserve">Brambles have grown over everything.</t>
  </si>
  <si>
    <t xml:space="preserve">Rare phenomena (small impossible things; never currency)</t>
  </si>
  <si>
    <t xml:space="preserve">Where</t>
  </si>
  <si>
    <t xml:space="preserve">Rarity / placement</t>
  </si>
  <si>
    <t xml:space="preserve">Effect</t>
  </si>
  <si>
    <t xml:space="preserve">deep_woods, still_glade</t>
  </si>
  <si>
    <t xml:space="preserve">rare spot</t>
  </si>
  <si>
    <t xml:space="preserve">reveal area</t>
  </si>
  <si>
    <t xml:space="preserve">beside water</t>
  </si>
  <si>
    <t xml:space="preserve">renew fish</t>
  </si>
  <si>
    <t xml:space="preserve">from a mossy rock</t>
  </si>
  <si>
    <t xml:space="preserve">common lead</t>
  </si>
  <si>
    <t xml:space="preserve">lead split_shadow_tree (60%); note shadow_gone (40%)</t>
  </si>
  <si>
    <t xml:space="preserve">near the double shadow, a chunk away</t>
  </si>
  <si>
    <t xml:space="preserve">shimmer split_shadow</t>
  </si>
  <si>
    <t xml:space="preserve">Shimmer: uncommon and rare spot odds x2.5 in that region cell (3x3 chunks) for the rest of the life (tier caps still apply).</t>
  </si>
  <si>
    <t xml:space="preserve">Treasure = no use during a life, carried home for ash.</t>
  </si>
  <si>
    <t xml:space="preserve">Rarity</t>
  </si>
  <si>
    <t xml:space="preserve">Food</t>
  </si>
  <si>
    <t xml:space="preserve">Ash value</t>
  </si>
  <si>
    <t xml:space="preserve">Slot</t>
  </si>
  <si>
    <t xml:space="preserve">Comes from</t>
  </si>
  <si>
    <t xml:space="preserve">Wild berries</t>
  </si>
  <si>
    <t xml:space="preserve">food</t>
  </si>
  <si>
    <t xml:space="preserve">bramble_berries, feeding_ground</t>
  </si>
  <si>
    <t xml:space="preserve">Bird egg</t>
  </si>
  <si>
    <t xml:space="preserve">reed_bed, gnarled_tree, tower_stair, lumber_oak</t>
  </si>
  <si>
    <t xml:space="preserve">Boar meat</t>
  </si>
  <si>
    <t xml:space="preserve">Venison</t>
  </si>
  <si>
    <t xml:space="preserve">Pale mushroom</t>
  </si>
  <si>
    <t xml:space="preserve">rotten_log, mushroom_ring</t>
  </si>
  <si>
    <t xml:space="preserve">Snared hare</t>
  </si>
  <si>
    <t xml:space="preserve">lodge_snares, craft_snare</t>
  </si>
  <si>
    <t xml:space="preserve">River fish</t>
  </si>
  <si>
    <t xml:space="preserve">fishing_pool, river_lurker, busy_pool, lurker_burrow, fishing_platform, fishing_camp</t>
  </si>
  <si>
    <t xml:space="preserve">Stick</t>
  </si>
  <si>
    <t xml:space="preserve">material</t>
  </si>
  <si>
    <t xml:space="preserve">fallen_branches, cut_wood, gnarled_tree, dead_tree, camp_packs, tower_rubble, lumber_logs, lumber_oak, barrow_bones, bonus:wood_stash</t>
  </si>
  <si>
    <t xml:space="preserve">Bramble thorn</t>
  </si>
  <si>
    <t xml:space="preserve">bramble_berries, feeding_ground, camp_firepit, lodge_snares</t>
  </si>
  <si>
    <t xml:space="preserve">Boar hide</t>
  </si>
  <si>
    <t xml:space="preserve">angry_boar, bramble_boar, lodge_racks, bonus:hunter_trophies</t>
  </si>
  <si>
    <t xml:space="preserve">Boar tusk</t>
  </si>
  <si>
    <t xml:space="preserve">treasure</t>
  </si>
  <si>
    <t xml:space="preserve">barrow_bones, bonus:boar_spoils, bonus:hunter_trophies</t>
  </si>
  <si>
    <t xml:space="preserve">Deer antler</t>
  </si>
  <si>
    <t xml:space="preserve">bonus:deer_spoils, bonus:hunter_trophies</t>
  </si>
  <si>
    <t xml:space="preserve">Tarnished coin</t>
  </si>
  <si>
    <t xml:space="preserve">shrine_wisp, bonus:forest_trinkets, bonus:traveller_cache, bonus:rotten_log, bonus:hidden_stash, bonus:bones_spoils, bonus:fishing_camp, bonus:shrine_offerings, bonus:barrow_hoard</t>
  </si>
  <si>
    <t xml:space="preserve">Amber charm</t>
  </si>
  <si>
    <t xml:space="preserve">bonus:forest_trinkets, bonus:traveller_cache, bonus:rotten_log, bonus:hidden_stash, bonus:bones_spoils, bonus:fishing_camp, bonus:shrine_offerings, bonus:barrow_hoard</t>
  </si>
  <si>
    <t xml:space="preserve">hide_wrap</t>
  </si>
  <si>
    <t xml:space="preserve">gear</t>
  </si>
  <si>
    <t xml:space="preserve">body</t>
  </si>
  <si>
    <t xml:space="preserve">walking_staff</t>
  </si>
  <si>
    <t xml:space="preserve">weapon</t>
  </si>
  <si>
    <t xml:space="preserve">Cloth scrap</t>
  </si>
  <si>
    <t xml:space="preserve">hidden_stash, fishing_net, camp_packs, camp_bedroll, barrow_goods</t>
  </si>
  <si>
    <t xml:space="preserve">Carved bone</t>
  </si>
  <si>
    <t xml:space="preserve">barrow_dead, tower_guard</t>
  </si>
  <si>
    <t xml:space="preserve">Coil of rope</t>
  </si>
  <si>
    <t xml:space="preserve">hidden_stash, fishing_net, fishing_platform, fishing_camp, camp_firepit, lumber_shed, lodge_racks, bonus:wood_stash</t>
  </si>
  <si>
    <t xml:space="preserve">Iron nails</t>
  </si>
  <si>
    <t xml:space="preserve">tower_rubble, tower_armory, lumber_shed, tower_guard, bonus:wood_stash, bonus:hidden_stash, bonus:bones_spoils, bonus:fishing_camp, bonus:barrow_hoard</t>
  </si>
  <si>
    <t xml:space="preserve">River scales</t>
  </si>
  <si>
    <t xml:space="preserve">bonus:lurker_spoils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</si>
</sst>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0"/>
    <numFmt numFmtId="167" formatCode="0"/>
    <numFmt numFmtId="168" formatCode="0%"/>
    <numFmt numFmtId="169" formatCode="0.00\x"/>
    <numFmt numFmtId="170" formatCode="0.0"/>
    <numFmt numFmtId="171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4F3A"/>
        <bgColor rgb="FF555555"/>
      </patternFill>
    </fill>
    <fill>
      <patternFill patternType="solid">
        <fgColor rgb="FFFFF7D6"/>
        <bgColor rgb="FFFFFFFF"/>
      </patternFill>
    </fill>
    <fill>
      <patternFill patternType="solid">
        <fgColor rgb="FFE3F4DC"/>
        <bgColor rgb="FFDCE8FA"/>
      </patternFill>
    </fill>
    <fill>
      <patternFill patternType="solid">
        <fgColor rgb="FFDCE8FA"/>
        <bgColor rgb="FFE3F4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DCE8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15" hidden="false" customHeight="false" outlineLevel="0" collapsed="false">
      <c r="A7" s="4" t="s">
        <v>7</v>
      </c>
      <c r="B7" s="4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4" t="s">
        <v>10</v>
      </c>
      <c r="B10" s="4" t="s">
        <v>11</v>
      </c>
    </row>
    <row r="11" customFormat="false" ht="15" hidden="false" customHeight="false" outlineLevel="0" collapsed="false">
      <c r="A11" s="4" t="s">
        <v>12</v>
      </c>
      <c r="B11" s="4" t="s">
        <v>13</v>
      </c>
    </row>
    <row r="12" customFormat="false" ht="15" hidden="false" customHeight="false" outlineLevel="0" collapsed="false">
      <c r="A12" s="4" t="s">
        <v>14</v>
      </c>
      <c r="B12" s="4" t="s">
        <v>15</v>
      </c>
    </row>
    <row r="13" customFormat="false" ht="15" hidden="false" customHeight="false" outlineLevel="0" collapsed="false">
      <c r="A13" s="4" t="s">
        <v>16</v>
      </c>
      <c r="B13" s="4" t="s">
        <v>17</v>
      </c>
    </row>
    <row r="14" customFormat="false" ht="15" hidden="false" customHeight="false" outlineLevel="0" collapsed="false">
      <c r="A14" s="4" t="s">
        <v>18</v>
      </c>
      <c r="B14" s="4" t="s">
        <v>19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20</v>
      </c>
      <c r="B16" s="4"/>
    </row>
    <row r="17" customFormat="false" ht="15" hidden="false" customHeight="false" outlineLevel="0" collapsed="false">
      <c r="A17" s="4" t="s">
        <v>21</v>
      </c>
      <c r="B17" s="4" t="s">
        <v>22</v>
      </c>
    </row>
    <row r="18" customFormat="false" ht="15" hidden="false" customHeight="false" outlineLevel="0" collapsed="false">
      <c r="A18" s="4" t="s">
        <v>23</v>
      </c>
      <c r="B18" s="4" t="s">
        <v>24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4" t="s">
        <v>25</v>
      </c>
      <c r="B20" s="4" t="s">
        <v>26</v>
      </c>
    </row>
    <row r="21" customFormat="false" ht="15" hidden="false" customHeight="false" outlineLevel="0" collapsed="false">
      <c r="A21" s="4" t="s">
        <v>27</v>
      </c>
      <c r="B21" s="4" t="s">
        <v>28</v>
      </c>
    </row>
    <row r="22" customFormat="false" ht="15" hidden="false" customHeight="false" outlineLevel="0" collapsed="false">
      <c r="A22" s="3"/>
      <c r="B22" s="4"/>
    </row>
    <row r="23" customFormat="false" ht="15" hidden="false" customHeight="false" outlineLevel="0" collapsed="false">
      <c r="A23" s="3" t="s">
        <v>29</v>
      </c>
      <c r="B23" s="4"/>
    </row>
    <row r="24" customFormat="false" ht="15" hidden="false" customHeight="false" outlineLevel="0" collapsed="false">
      <c r="A24" s="4" t="s">
        <v>30</v>
      </c>
      <c r="B24" s="4" t="s">
        <v>31</v>
      </c>
    </row>
    <row r="25" customFormat="false" ht="15" hidden="false" customHeight="false" outlineLevel="0" collapsed="false">
      <c r="A25" s="4" t="s">
        <v>32</v>
      </c>
      <c r="B25" s="4" t="s">
        <v>33</v>
      </c>
    </row>
    <row r="26" customFormat="false" ht="15" hidden="false" customHeight="false" outlineLevel="0" collapsed="false">
      <c r="A26" s="4" t="s">
        <v>34</v>
      </c>
      <c r="B26" s="4" t="s">
        <v>35</v>
      </c>
    </row>
    <row r="27" customFormat="false" ht="15" hidden="false" customHeight="false" outlineLevel="0" collapsed="false">
      <c r="A27" s="4" t="s">
        <v>36</v>
      </c>
      <c r="B27" s="4" t="s">
        <v>37</v>
      </c>
    </row>
    <row r="28" customFormat="false" ht="15" hidden="false" customHeight="false" outlineLevel="0" collapsed="false">
      <c r="A28" s="4" t="s">
        <v>21</v>
      </c>
      <c r="B28" s="4" t="s">
        <v>38</v>
      </c>
    </row>
    <row r="29" customFormat="false" ht="15" hidden="false" customHeight="false" outlineLevel="0" collapsed="false">
      <c r="A29" s="4" t="s">
        <v>39</v>
      </c>
      <c r="B29" s="4" t="s">
        <v>40</v>
      </c>
    </row>
    <row r="30" customFormat="false" ht="15" hidden="false" customHeight="false" outlineLevel="0" collapsed="false">
      <c r="A30" s="4" t="s">
        <v>41</v>
      </c>
      <c r="B30" s="4" t="s">
        <v>42</v>
      </c>
    </row>
    <row r="31" customFormat="false" ht="15" hidden="false" customHeight="false" outlineLevel="0" collapsed="false">
      <c r="A31" s="4" t="s">
        <v>25</v>
      </c>
      <c r="B31" s="4" t="s">
        <v>43</v>
      </c>
    </row>
    <row r="32" customFormat="false" ht="15" hidden="false" customHeight="false" outlineLevel="0" collapsed="false">
      <c r="A32" s="4" t="s">
        <v>27</v>
      </c>
      <c r="B32" s="4" t="s">
        <v>44</v>
      </c>
    </row>
    <row r="33" customFormat="false" ht="15" hidden="false" customHeight="false" outlineLevel="0" collapsed="false">
      <c r="A33" s="4" t="s">
        <v>45</v>
      </c>
      <c r="B33" s="4" t="s">
        <v>46</v>
      </c>
    </row>
    <row r="34" customFormat="false" ht="15" hidden="false" customHeight="false" outlineLevel="0" collapsed="false">
      <c r="A34" s="4" t="s">
        <v>47</v>
      </c>
      <c r="B34" s="4" t="s">
        <v>48</v>
      </c>
    </row>
    <row r="35" customFormat="false" ht="15" hidden="false" customHeight="false" outlineLevel="0" collapsed="false">
      <c r="A35" s="4" t="s">
        <v>49</v>
      </c>
      <c r="B35" s="4" t="s">
        <v>50</v>
      </c>
    </row>
    <row r="36" customFormat="false" ht="15" hidden="false" customHeight="false" outlineLevel="0" collapsed="false">
      <c r="A36" s="4" t="s">
        <v>51</v>
      </c>
      <c r="B36" s="4" t="s">
        <v>52</v>
      </c>
    </row>
    <row r="37" customFormat="false" ht="15" hidden="false" customHeight="false" outlineLevel="0" collapsed="false">
      <c r="A37" s="4" t="s">
        <v>53</v>
      </c>
      <c r="B37" s="4" t="s">
        <v>54</v>
      </c>
    </row>
    <row r="38" customFormat="false" ht="15" hidden="false" customHeight="false" outlineLevel="0" collapsed="false">
      <c r="A38" s="4" t="s">
        <v>55</v>
      </c>
      <c r="B38" s="4" t="s">
        <v>56</v>
      </c>
    </row>
    <row r="39" customFormat="false" ht="15" hidden="false" customHeight="false" outlineLevel="0" collapsed="false">
      <c r="A39" s="4" t="s">
        <v>57</v>
      </c>
      <c r="B39" s="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1.5" hidden="false" customHeight="tru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</row>
    <row r="5" customFormat="false" ht="15" hidden="false" customHeight="false" outlineLevel="0" collapsed="false">
      <c r="A5" s="4" t="s">
        <v>66</v>
      </c>
      <c r="B5" s="6" t="n">
        <v>0.06</v>
      </c>
      <c r="C5" s="7" t="n">
        <v>10</v>
      </c>
      <c r="D5" s="4" t="s">
        <v>67</v>
      </c>
      <c r="E5" s="2" t="s">
        <v>68</v>
      </c>
    </row>
    <row r="6" customFormat="false" ht="15" hidden="false" customHeight="false" outlineLevel="0" collapsed="false">
      <c r="A6" s="4" t="s">
        <v>69</v>
      </c>
      <c r="B6" s="6" t="n">
        <v>0.25</v>
      </c>
      <c r="C6" s="7" t="n">
        <v>16</v>
      </c>
      <c r="D6" s="4" t="s">
        <v>70</v>
      </c>
      <c r="E6" s="2" t="s">
        <v>71</v>
      </c>
    </row>
    <row r="7" customFormat="false" ht="15" hidden="false" customHeight="false" outlineLevel="0" collapsed="false">
      <c r="A7" s="4" t="s">
        <v>72</v>
      </c>
      <c r="B7" s="2" t="s">
        <v>73</v>
      </c>
      <c r="C7" s="2" t="s">
        <v>74</v>
      </c>
      <c r="D7" s="4" t="s">
        <v>75</v>
      </c>
      <c r="E7" s="2"/>
    </row>
    <row r="9" customFormat="false" ht="15" hidden="false" customHeight="false" outlineLevel="0" collapsed="false">
      <c r="A9" s="3" t="s">
        <v>76</v>
      </c>
      <c r="B9" s="6" t="n">
        <v>0.9</v>
      </c>
    </row>
    <row r="10" customFormat="false" ht="15" hidden="false" customHeight="false" outlineLevel="0" collapsed="false">
      <c r="A10" s="3" t="s">
        <v>77</v>
      </c>
      <c r="B10" s="7" t="n">
        <v>0</v>
      </c>
      <c r="C10" s="2" t="s">
        <v>78</v>
      </c>
    </row>
    <row r="11" customFormat="false" ht="15" hidden="false" customHeight="false" outlineLevel="0" collapsed="false">
      <c r="A11" s="3" t="s">
        <v>79</v>
      </c>
      <c r="B11" s="6" t="n">
        <v>0</v>
      </c>
      <c r="C11" s="2" t="s">
        <v>80</v>
      </c>
    </row>
    <row r="12" customFormat="false" ht="15" hidden="false" customHeight="false" outlineLevel="0" collapsed="false">
      <c r="A12" s="3" t="s">
        <v>81</v>
      </c>
      <c r="B12" s="8" t="n">
        <f aca="false">1+B11*B10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6" min="3" style="0" width="10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10"/>
    <col collapsed="false" customWidth="true" hidden="false" outlineLevel="0" max="15" min="15" style="0" width="6"/>
    <col collapsed="false" customWidth="true" hidden="false" outlineLevel="0" max="16" min="16" style="0" width="8"/>
    <col collapsed="false" customWidth="true" hidden="false" outlineLevel="0" max="17" min="17" style="0" width="16"/>
    <col collapsed="false" customWidth="true" hidden="false" outlineLevel="0" max="18" min="18" style="0" width="26"/>
    <col collapsed="false" customWidth="true" hidden="false" outlineLevel="0" max="19" min="19" style="0" width="28"/>
    <col collapsed="false" customWidth="true" hidden="false" outlineLevel="0" max="20" min="20" style="0" width="14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82</v>
      </c>
    </row>
    <row r="4" customFormat="false" ht="31.5" hidden="false" customHeight="true" outlineLevel="0" collapsed="false">
      <c r="A4" s="5" t="s">
        <v>83</v>
      </c>
      <c r="B4" s="5" t="s">
        <v>84</v>
      </c>
      <c r="C4" s="5" t="s">
        <v>85</v>
      </c>
      <c r="D4" s="5" t="s">
        <v>86</v>
      </c>
      <c r="E4" s="5" t="s">
        <v>61</v>
      </c>
      <c r="F4" s="5" t="s">
        <v>87</v>
      </c>
      <c r="G4" s="5" t="s">
        <v>88</v>
      </c>
      <c r="H4" s="5" t="s">
        <v>89</v>
      </c>
      <c r="I4" s="5" t="s">
        <v>90</v>
      </c>
      <c r="J4" s="5" t="s">
        <v>91</v>
      </c>
      <c r="K4" s="5" t="s">
        <v>92</v>
      </c>
      <c r="L4" s="5" t="s">
        <v>93</v>
      </c>
      <c r="M4" s="5" t="s">
        <v>94</v>
      </c>
      <c r="N4" s="5" t="s">
        <v>95</v>
      </c>
      <c r="O4" s="5" t="s">
        <v>96</v>
      </c>
      <c r="P4" s="5" t="s">
        <v>97</v>
      </c>
      <c r="Q4" s="5" t="s">
        <v>98</v>
      </c>
      <c r="R4" s="5" t="s">
        <v>99</v>
      </c>
      <c r="S4" s="5" t="s">
        <v>100</v>
      </c>
      <c r="T4" s="5" t="s">
        <v>101</v>
      </c>
    </row>
    <row r="5" customFormat="false" ht="15" hidden="false" customHeight="false" outlineLevel="0" collapsed="false">
      <c r="A5" s="4" t="s">
        <v>102</v>
      </c>
      <c r="B5" s="4" t="s">
        <v>103</v>
      </c>
      <c r="C5" s="4" t="s">
        <v>104</v>
      </c>
      <c r="D5" s="4" t="s">
        <v>105</v>
      </c>
      <c r="E5" s="4" t="s">
        <v>72</v>
      </c>
      <c r="F5" s="7" t="n">
        <v>11</v>
      </c>
      <c r="G5" s="4" t="s">
        <v>106</v>
      </c>
      <c r="H5" s="4"/>
      <c r="I5" s="4" t="s">
        <v>107</v>
      </c>
      <c r="J5" s="4"/>
      <c r="K5" s="4" t="s">
        <v>108</v>
      </c>
      <c r="L5" s="4"/>
      <c r="M5" s="4" t="n">
        <v>40</v>
      </c>
      <c r="N5" s="4" t="n">
        <v>2.4</v>
      </c>
      <c r="O5" s="4"/>
      <c r="P5" s="4"/>
      <c r="Q5" s="4"/>
      <c r="R5" s="4" t="s">
        <v>109</v>
      </c>
      <c r="S5" s="4" t="s">
        <v>110</v>
      </c>
      <c r="T5" s="4" t="s">
        <v>111</v>
      </c>
    </row>
    <row r="6" customFormat="false" ht="15" hidden="false" customHeight="false" outlineLevel="0" collapsed="false">
      <c r="A6" s="4" t="s">
        <v>112</v>
      </c>
      <c r="B6" s="4" t="s">
        <v>113</v>
      </c>
      <c r="C6" s="4" t="s">
        <v>104</v>
      </c>
      <c r="D6" s="4" t="s">
        <v>114</v>
      </c>
      <c r="E6" s="4" t="s">
        <v>72</v>
      </c>
      <c r="F6" s="7" t="n">
        <v>18</v>
      </c>
      <c r="G6" s="4" t="s">
        <v>106</v>
      </c>
      <c r="H6" s="4"/>
      <c r="I6" s="4" t="s">
        <v>115</v>
      </c>
      <c r="J6" s="4"/>
      <c r="K6" s="4" t="s">
        <v>116</v>
      </c>
      <c r="L6" s="4"/>
      <c r="M6" s="4" t="n">
        <v>30</v>
      </c>
      <c r="N6" s="4" t="n">
        <v>2.2</v>
      </c>
      <c r="O6" s="4"/>
      <c r="P6" s="4"/>
      <c r="Q6" s="4"/>
      <c r="R6" s="4" t="s">
        <v>117</v>
      </c>
      <c r="S6" s="4" t="s">
        <v>118</v>
      </c>
      <c r="T6" s="4" t="s">
        <v>119</v>
      </c>
    </row>
    <row r="7" customFormat="false" ht="15" hidden="false" customHeight="false" outlineLevel="0" collapsed="false">
      <c r="A7" s="4" t="s">
        <v>120</v>
      </c>
      <c r="B7" s="4" t="s">
        <v>121</v>
      </c>
      <c r="C7" s="4" t="s">
        <v>104</v>
      </c>
      <c r="D7" s="4" t="s">
        <v>122</v>
      </c>
      <c r="E7" s="4" t="s">
        <v>72</v>
      </c>
      <c r="F7" s="7" t="n">
        <v>12</v>
      </c>
      <c r="G7" s="4" t="s">
        <v>106</v>
      </c>
      <c r="H7" s="4"/>
      <c r="I7" s="4" t="s">
        <v>123</v>
      </c>
      <c r="J7" s="4"/>
      <c r="K7" s="4" t="s">
        <v>116</v>
      </c>
      <c r="L7" s="4"/>
      <c r="M7" s="4" t="n">
        <v>50</v>
      </c>
      <c r="N7" s="4" t="n">
        <v>3</v>
      </c>
      <c r="O7" s="4"/>
      <c r="P7" s="4"/>
      <c r="Q7" s="4"/>
      <c r="R7" s="4" t="s">
        <v>124</v>
      </c>
      <c r="S7" s="4" t="s">
        <v>125</v>
      </c>
      <c r="T7" s="4" t="s">
        <v>126</v>
      </c>
    </row>
    <row r="8" customFormat="false" ht="15" hidden="false" customHeight="false" outlineLevel="0" collapsed="false">
      <c r="A8" s="4" t="s">
        <v>127</v>
      </c>
      <c r="B8" s="4" t="s">
        <v>128</v>
      </c>
      <c r="C8" s="4" t="s">
        <v>104</v>
      </c>
      <c r="D8" s="4" t="s">
        <v>129</v>
      </c>
      <c r="E8" s="4" t="s">
        <v>72</v>
      </c>
      <c r="F8" s="7" t="n">
        <v>9</v>
      </c>
      <c r="G8" s="4" t="s">
        <v>106</v>
      </c>
      <c r="H8" s="4"/>
      <c r="I8" s="4" t="s">
        <v>107</v>
      </c>
      <c r="J8" s="4"/>
      <c r="K8" s="4" t="s">
        <v>108</v>
      </c>
      <c r="L8" s="4"/>
      <c r="M8" s="4" t="n">
        <v>40</v>
      </c>
      <c r="N8" s="4" t="n">
        <v>2</v>
      </c>
      <c r="O8" s="4" t="n">
        <v>10</v>
      </c>
      <c r="P8" s="4"/>
      <c r="Q8" s="4"/>
      <c r="R8" s="4" t="s">
        <v>130</v>
      </c>
      <c r="S8" s="4" t="s">
        <v>131</v>
      </c>
      <c r="T8" s="4"/>
    </row>
    <row r="9" customFormat="false" ht="15" hidden="false" customHeight="false" outlineLevel="0" collapsed="false">
      <c r="A9" s="4" t="s">
        <v>132</v>
      </c>
      <c r="B9" s="4" t="s">
        <v>133</v>
      </c>
      <c r="C9" s="4" t="s">
        <v>104</v>
      </c>
      <c r="D9" s="4" t="s">
        <v>105</v>
      </c>
      <c r="E9" s="4" t="s">
        <v>72</v>
      </c>
      <c r="F9" s="7" t="n">
        <v>7</v>
      </c>
      <c r="G9" s="4" t="s">
        <v>106</v>
      </c>
      <c r="H9" s="4"/>
      <c r="I9" s="4" t="s">
        <v>107</v>
      </c>
      <c r="J9" s="4"/>
      <c r="K9" s="4" t="s">
        <v>108</v>
      </c>
      <c r="L9" s="4"/>
      <c r="M9" s="4" t="n">
        <v>35</v>
      </c>
      <c r="N9" s="4" t="n">
        <v>2.6</v>
      </c>
      <c r="O9" s="4"/>
      <c r="P9" s="4"/>
      <c r="Q9" s="4"/>
      <c r="R9" s="4" t="s">
        <v>134</v>
      </c>
      <c r="S9" s="4" t="s">
        <v>135</v>
      </c>
      <c r="T9" s="4"/>
    </row>
    <row r="10" customFormat="false" ht="15" hidden="false" customHeight="false" outlineLevel="0" collapsed="false">
      <c r="A10" s="4" t="s">
        <v>136</v>
      </c>
      <c r="B10" s="4" t="s">
        <v>137</v>
      </c>
      <c r="C10" s="4" t="s">
        <v>104</v>
      </c>
      <c r="D10" s="4" t="s">
        <v>138</v>
      </c>
      <c r="E10" s="4" t="s">
        <v>72</v>
      </c>
      <c r="F10" s="7" t="n">
        <v>9</v>
      </c>
      <c r="G10" s="4" t="s">
        <v>106</v>
      </c>
      <c r="H10" s="4"/>
      <c r="I10" s="4" t="s">
        <v>107</v>
      </c>
      <c r="J10" s="4"/>
      <c r="K10" s="4" t="s">
        <v>139</v>
      </c>
      <c r="L10" s="4"/>
      <c r="M10" s="4" t="n">
        <v>45</v>
      </c>
      <c r="N10" s="4" t="n">
        <v>3.6</v>
      </c>
      <c r="O10" s="4"/>
      <c r="P10" s="4"/>
      <c r="Q10" s="4"/>
      <c r="R10" s="4" t="s">
        <v>140</v>
      </c>
      <c r="S10" s="4" t="s">
        <v>141</v>
      </c>
      <c r="T10" s="4" t="s">
        <v>142</v>
      </c>
    </row>
    <row r="11" customFormat="false" ht="15" hidden="false" customHeight="false" outlineLevel="0" collapsed="false">
      <c r="A11" s="4" t="s">
        <v>143</v>
      </c>
      <c r="B11" s="4" t="s">
        <v>144</v>
      </c>
      <c r="C11" s="4" t="s">
        <v>104</v>
      </c>
      <c r="D11" s="4" t="s">
        <v>122</v>
      </c>
      <c r="E11" s="4" t="s">
        <v>72</v>
      </c>
      <c r="F11" s="7" t="n">
        <v>4</v>
      </c>
      <c r="G11" s="4" t="s">
        <v>106</v>
      </c>
      <c r="H11" s="4"/>
      <c r="I11" s="4" t="s">
        <v>107</v>
      </c>
      <c r="J11" s="4"/>
      <c r="K11" s="4" t="s">
        <v>116</v>
      </c>
      <c r="L11" s="4"/>
      <c r="M11" s="4" t="n">
        <v>40</v>
      </c>
      <c r="N11" s="4" t="n">
        <v>2.4</v>
      </c>
      <c r="O11" s="4"/>
      <c r="P11" s="4"/>
      <c r="Q11" s="4"/>
      <c r="R11" s="4" t="s">
        <v>145</v>
      </c>
      <c r="S11" s="4" t="s">
        <v>146</v>
      </c>
      <c r="T11" s="4"/>
    </row>
    <row r="12" customFormat="false" ht="15" hidden="false" customHeight="false" outlineLevel="0" collapsed="false">
      <c r="A12" s="9" t="s">
        <v>147</v>
      </c>
      <c r="B12" s="9" t="s">
        <v>148</v>
      </c>
      <c r="C12" s="9" t="s">
        <v>104</v>
      </c>
      <c r="D12" s="9" t="s">
        <v>149</v>
      </c>
      <c r="E12" s="9" t="s">
        <v>69</v>
      </c>
      <c r="F12" s="7" t="n">
        <v>3</v>
      </c>
      <c r="G12" s="9" t="s">
        <v>106</v>
      </c>
      <c r="H12" s="9"/>
      <c r="I12" s="9" t="s">
        <v>107</v>
      </c>
      <c r="J12" s="9"/>
      <c r="K12" s="9" t="s">
        <v>150</v>
      </c>
      <c r="L12" s="9"/>
      <c r="M12" s="9" t="n">
        <v>40</v>
      </c>
      <c r="N12" s="9" t="n">
        <v>3</v>
      </c>
      <c r="O12" s="9"/>
      <c r="P12" s="9"/>
      <c r="Q12" s="9"/>
      <c r="R12" s="9" t="s">
        <v>151</v>
      </c>
      <c r="S12" s="9" t="s">
        <v>152</v>
      </c>
      <c r="T12" s="9"/>
    </row>
    <row r="13" customFormat="false" ht="15" hidden="false" customHeight="false" outlineLevel="0" collapsed="false">
      <c r="A13" s="4" t="s">
        <v>153</v>
      </c>
      <c r="B13" s="4" t="s">
        <v>154</v>
      </c>
      <c r="C13" s="4" t="s">
        <v>104</v>
      </c>
      <c r="D13" s="4" t="s">
        <v>155</v>
      </c>
      <c r="E13" s="4" t="s">
        <v>72</v>
      </c>
      <c r="F13" s="7" t="n">
        <v>3</v>
      </c>
      <c r="G13" s="4" t="s">
        <v>106</v>
      </c>
      <c r="H13" s="4"/>
      <c r="I13" s="4" t="s">
        <v>107</v>
      </c>
      <c r="J13" s="4"/>
      <c r="K13" s="4" t="s">
        <v>150</v>
      </c>
      <c r="L13" s="4" t="n">
        <v>2</v>
      </c>
      <c r="M13" s="4" t="n">
        <v>80</v>
      </c>
      <c r="N13" s="4" t="n">
        <v>0.001</v>
      </c>
      <c r="O13" s="4"/>
      <c r="P13" s="4"/>
      <c r="Q13" s="4" t="s">
        <v>156</v>
      </c>
      <c r="R13" s="4"/>
      <c r="S13" s="4" t="s">
        <v>157</v>
      </c>
      <c r="T13" s="4"/>
    </row>
    <row r="14" customFormat="false" ht="15" hidden="false" customHeight="false" outlineLevel="0" collapsed="false">
      <c r="A14" s="4" t="s">
        <v>158</v>
      </c>
      <c r="B14" s="4" t="s">
        <v>159</v>
      </c>
      <c r="C14" s="4" t="s">
        <v>104</v>
      </c>
      <c r="D14" s="4" t="s">
        <v>155</v>
      </c>
      <c r="E14" s="4" t="s">
        <v>72</v>
      </c>
      <c r="F14" s="7" t="n">
        <v>9</v>
      </c>
      <c r="G14" s="4" t="s">
        <v>106</v>
      </c>
      <c r="H14" s="4"/>
      <c r="I14" s="4" t="s">
        <v>107</v>
      </c>
      <c r="J14" s="4"/>
      <c r="K14" s="4" t="s">
        <v>108</v>
      </c>
      <c r="L14" s="4" t="n">
        <v>3</v>
      </c>
      <c r="M14" s="4" t="n">
        <v>100</v>
      </c>
      <c r="N14" s="4" t="n">
        <v>0.001</v>
      </c>
      <c r="O14" s="4"/>
      <c r="P14" s="4"/>
      <c r="Q14" s="4" t="s">
        <v>160</v>
      </c>
      <c r="R14" s="4"/>
      <c r="S14" s="4" t="s">
        <v>161</v>
      </c>
      <c r="T14" s="4"/>
    </row>
    <row r="15" customFormat="false" ht="15" hidden="false" customHeight="false" outlineLevel="0" collapsed="false">
      <c r="A15" s="4" t="s">
        <v>162</v>
      </c>
      <c r="B15" s="4" t="s">
        <v>163</v>
      </c>
      <c r="C15" s="4" t="s">
        <v>104</v>
      </c>
      <c r="D15" s="4" t="s">
        <v>164</v>
      </c>
      <c r="E15" s="4" t="s">
        <v>72</v>
      </c>
      <c r="F15" s="7" t="n">
        <v>10</v>
      </c>
      <c r="G15" s="4" t="s">
        <v>165</v>
      </c>
      <c r="H15" s="4"/>
      <c r="I15" s="4" t="s">
        <v>107</v>
      </c>
      <c r="J15" s="4" t="s">
        <v>166</v>
      </c>
      <c r="K15" s="4" t="s">
        <v>167</v>
      </c>
      <c r="L15" s="4"/>
      <c r="M15" s="4" t="n">
        <v>60</v>
      </c>
      <c r="N15" s="4" t="n">
        <v>3.2</v>
      </c>
      <c r="O15" s="4"/>
      <c r="P15" s="4"/>
      <c r="Q15" s="4"/>
      <c r="R15" s="4"/>
      <c r="S15" s="4" t="s">
        <v>168</v>
      </c>
      <c r="T15" s="4" t="s">
        <v>169</v>
      </c>
    </row>
    <row r="16" customFormat="false" ht="15" hidden="false" customHeight="false" outlineLevel="0" collapsed="false">
      <c r="A16" s="4" t="s">
        <v>170</v>
      </c>
      <c r="B16" s="4" t="s">
        <v>171</v>
      </c>
      <c r="C16" s="4" t="s">
        <v>104</v>
      </c>
      <c r="D16" s="4" t="s">
        <v>114</v>
      </c>
      <c r="E16" s="4" t="s">
        <v>72</v>
      </c>
      <c r="F16" s="7" t="n">
        <v>8</v>
      </c>
      <c r="G16" s="4" t="s">
        <v>106</v>
      </c>
      <c r="H16" s="4"/>
      <c r="I16" s="4" t="s">
        <v>107</v>
      </c>
      <c r="J16" s="4" t="s">
        <v>166</v>
      </c>
      <c r="K16" s="4" t="s">
        <v>116</v>
      </c>
      <c r="L16" s="4"/>
      <c r="M16" s="4" t="n">
        <v>45</v>
      </c>
      <c r="N16" s="4" t="n">
        <v>3.6</v>
      </c>
      <c r="O16" s="4"/>
      <c r="P16" s="4"/>
      <c r="Q16" s="4"/>
      <c r="R16" s="4"/>
      <c r="S16" s="4" t="s">
        <v>172</v>
      </c>
      <c r="T16" s="4" t="s">
        <v>119</v>
      </c>
    </row>
    <row r="17" customFormat="false" ht="15" hidden="false" customHeight="false" outlineLevel="0" collapsed="false">
      <c r="A17" s="4" t="s">
        <v>173</v>
      </c>
      <c r="B17" s="4" t="s">
        <v>174</v>
      </c>
      <c r="C17" s="4" t="s">
        <v>104</v>
      </c>
      <c r="D17" s="4" t="s">
        <v>105</v>
      </c>
      <c r="E17" s="4" t="s">
        <v>72</v>
      </c>
      <c r="F17" s="7" t="n">
        <v>8</v>
      </c>
      <c r="G17" s="4" t="s">
        <v>175</v>
      </c>
      <c r="H17" s="4"/>
      <c r="I17" s="4" t="s">
        <v>176</v>
      </c>
      <c r="J17" s="4"/>
      <c r="K17" s="4" t="s">
        <v>167</v>
      </c>
      <c r="L17" s="4"/>
      <c r="M17" s="4" t="n">
        <v>55</v>
      </c>
      <c r="N17" s="4" t="n">
        <v>3.2</v>
      </c>
      <c r="O17" s="4"/>
      <c r="P17" s="4"/>
      <c r="Q17" s="4"/>
      <c r="R17" s="4" t="s">
        <v>177</v>
      </c>
      <c r="S17" s="4" t="s">
        <v>178</v>
      </c>
      <c r="T17" s="4" t="s">
        <v>179</v>
      </c>
    </row>
    <row r="18" customFormat="false" ht="15" hidden="false" customHeight="false" outlineLevel="0" collapsed="false">
      <c r="A18" s="4" t="s">
        <v>180</v>
      </c>
      <c r="B18" s="4" t="s">
        <v>181</v>
      </c>
      <c r="C18" s="4" t="s">
        <v>104</v>
      </c>
      <c r="D18" s="4" t="s">
        <v>182</v>
      </c>
      <c r="E18" s="4" t="s">
        <v>72</v>
      </c>
      <c r="F18" s="7" t="n">
        <v>7</v>
      </c>
      <c r="G18" s="4" t="s">
        <v>183</v>
      </c>
      <c r="H18" s="4"/>
      <c r="I18" s="4" t="s">
        <v>107</v>
      </c>
      <c r="J18" s="4" t="s">
        <v>184</v>
      </c>
      <c r="K18" s="4" t="s">
        <v>116</v>
      </c>
      <c r="L18" s="4"/>
      <c r="M18" s="4" t="n">
        <v>60</v>
      </c>
      <c r="N18" s="4" t="n">
        <v>4</v>
      </c>
      <c r="O18" s="4"/>
      <c r="P18" s="4"/>
      <c r="Q18" s="4"/>
      <c r="R18" s="4" t="s">
        <v>185</v>
      </c>
      <c r="S18" s="4" t="s">
        <v>186</v>
      </c>
      <c r="T18" s="4"/>
    </row>
    <row r="19" customFormat="false" ht="15" hidden="false" customHeight="false" outlineLevel="0" collapsed="false">
      <c r="A19" s="10" t="s">
        <v>187</v>
      </c>
      <c r="B19" s="10" t="s">
        <v>188</v>
      </c>
      <c r="C19" s="10" t="s">
        <v>104</v>
      </c>
      <c r="D19" s="10" t="s">
        <v>122</v>
      </c>
      <c r="E19" s="10" t="s">
        <v>66</v>
      </c>
      <c r="F19" s="7" t="n">
        <v>3</v>
      </c>
      <c r="G19" s="10" t="s">
        <v>106</v>
      </c>
      <c r="H19" s="10"/>
      <c r="I19" s="10" t="s">
        <v>123</v>
      </c>
      <c r="J19" s="10"/>
      <c r="K19" s="10" t="s">
        <v>150</v>
      </c>
      <c r="L19" s="10"/>
      <c r="M19" s="10" t="n">
        <v>70</v>
      </c>
      <c r="N19" s="10" t="n">
        <v>3</v>
      </c>
      <c r="O19" s="10"/>
      <c r="P19" s="10"/>
      <c r="Q19" s="10"/>
      <c r="R19" s="10"/>
      <c r="S19" s="10" t="s">
        <v>189</v>
      </c>
      <c r="T19" s="10"/>
    </row>
    <row r="20" customFormat="false" ht="15" hidden="false" customHeight="false" outlineLevel="0" collapsed="false">
      <c r="A20" s="10" t="s">
        <v>190</v>
      </c>
      <c r="B20" s="10" t="s">
        <v>191</v>
      </c>
      <c r="C20" s="10" t="s">
        <v>104</v>
      </c>
      <c r="D20" s="10" t="s">
        <v>122</v>
      </c>
      <c r="E20" s="10" t="s">
        <v>66</v>
      </c>
      <c r="F20" s="7" t="n">
        <v>3</v>
      </c>
      <c r="G20" s="10" t="s">
        <v>106</v>
      </c>
      <c r="H20" s="10"/>
      <c r="I20" s="10" t="s">
        <v>107</v>
      </c>
      <c r="J20" s="10"/>
      <c r="K20" s="10" t="s">
        <v>150</v>
      </c>
      <c r="L20" s="10"/>
      <c r="M20" s="10" t="n">
        <v>70</v>
      </c>
      <c r="N20" s="10" t="n">
        <v>3</v>
      </c>
      <c r="O20" s="10"/>
      <c r="P20" s="10"/>
      <c r="Q20" s="10"/>
      <c r="R20" s="10"/>
      <c r="S20" s="10" t="s">
        <v>192</v>
      </c>
      <c r="T20" s="10"/>
    </row>
    <row r="21" customFormat="false" ht="15" hidden="false" customHeight="false" outlineLevel="0" collapsed="false">
      <c r="A21" s="9" t="s">
        <v>193</v>
      </c>
      <c r="B21" s="9" t="s">
        <v>194</v>
      </c>
      <c r="C21" s="9" t="s">
        <v>104</v>
      </c>
      <c r="D21" s="9" t="s">
        <v>129</v>
      </c>
      <c r="E21" s="9" t="s">
        <v>69</v>
      </c>
      <c r="F21" s="7" t="n">
        <v>5</v>
      </c>
      <c r="G21" s="9" t="s">
        <v>183</v>
      </c>
      <c r="H21" s="9"/>
      <c r="I21" s="9" t="s">
        <v>107</v>
      </c>
      <c r="J21" s="9"/>
      <c r="K21" s="9" t="s">
        <v>150</v>
      </c>
      <c r="L21" s="9"/>
      <c r="M21" s="9" t="n">
        <v>45</v>
      </c>
      <c r="N21" s="9" t="n">
        <v>2.6</v>
      </c>
      <c r="O21" s="9" t="n">
        <v>12</v>
      </c>
      <c r="P21" s="9"/>
      <c r="Q21" s="9"/>
      <c r="R21" s="9"/>
      <c r="S21" s="9" t="s">
        <v>131</v>
      </c>
      <c r="T21" s="9"/>
    </row>
    <row r="22" customFormat="false" ht="15" hidden="false" customHeight="false" outlineLevel="0" collapsed="false">
      <c r="A22" s="9" t="s">
        <v>195</v>
      </c>
      <c r="B22" s="9" t="s">
        <v>196</v>
      </c>
      <c r="C22" s="9" t="s">
        <v>104</v>
      </c>
      <c r="D22" s="9" t="s">
        <v>197</v>
      </c>
      <c r="E22" s="9" t="s">
        <v>69</v>
      </c>
      <c r="F22" s="7" t="n">
        <v>5</v>
      </c>
      <c r="G22" s="9" t="s">
        <v>198</v>
      </c>
      <c r="H22" s="9"/>
      <c r="I22" s="9" t="s">
        <v>107</v>
      </c>
      <c r="J22" s="9"/>
      <c r="K22" s="9" t="s">
        <v>116</v>
      </c>
      <c r="L22" s="9"/>
      <c r="M22" s="9" t="n">
        <v>80</v>
      </c>
      <c r="N22" s="9" t="n">
        <v>3.6</v>
      </c>
      <c r="O22" s="9"/>
      <c r="P22" s="9"/>
      <c r="Q22" s="9"/>
      <c r="R22" s="9" t="s">
        <v>199</v>
      </c>
      <c r="S22" s="9" t="s">
        <v>200</v>
      </c>
      <c r="T22" s="9"/>
    </row>
    <row r="23" customFormat="false" ht="15" hidden="false" customHeight="false" outlineLevel="0" collapsed="false">
      <c r="A23" s="9" t="s">
        <v>201</v>
      </c>
      <c r="B23" s="9" t="s">
        <v>202</v>
      </c>
      <c r="C23" s="9" t="s">
        <v>104</v>
      </c>
      <c r="D23" s="9" t="s">
        <v>203</v>
      </c>
      <c r="E23" s="9" t="s">
        <v>69</v>
      </c>
      <c r="F23" s="7" t="n">
        <v>6</v>
      </c>
      <c r="G23" s="9" t="s">
        <v>204</v>
      </c>
      <c r="H23" s="9"/>
      <c r="I23" s="9" t="s">
        <v>205</v>
      </c>
      <c r="J23" s="9"/>
      <c r="K23" s="9" t="s">
        <v>167</v>
      </c>
      <c r="L23" s="9"/>
      <c r="M23" s="9" t="n">
        <v>50</v>
      </c>
      <c r="N23" s="9" t="n">
        <v>3.6</v>
      </c>
      <c r="O23" s="9"/>
      <c r="P23" s="9" t="n">
        <v>1</v>
      </c>
      <c r="Q23" s="9"/>
      <c r="R23" s="9"/>
      <c r="S23" s="9" t="s">
        <v>206</v>
      </c>
      <c r="T23" s="9"/>
    </row>
    <row r="24" customFormat="false" ht="15" hidden="false" customHeight="false" outlineLevel="0" collapsed="false">
      <c r="A24" s="4" t="s">
        <v>207</v>
      </c>
      <c r="B24" s="4" t="s">
        <v>208</v>
      </c>
      <c r="C24" s="4" t="s">
        <v>209</v>
      </c>
      <c r="D24" s="4" t="s">
        <v>122</v>
      </c>
      <c r="E24" s="4" t="s">
        <v>72</v>
      </c>
      <c r="F24" s="2" t="s">
        <v>209</v>
      </c>
      <c r="G24" s="4" t="s">
        <v>106</v>
      </c>
      <c r="H24" s="4" t="s">
        <v>210</v>
      </c>
      <c r="I24" s="4" t="s">
        <v>107</v>
      </c>
      <c r="J24" s="4"/>
      <c r="K24" s="4" t="s">
        <v>116</v>
      </c>
      <c r="L24" s="4"/>
      <c r="M24" s="4" t="n">
        <v>35</v>
      </c>
      <c r="N24" s="4" t="n">
        <v>3.8</v>
      </c>
      <c r="O24" s="4"/>
      <c r="P24" s="4"/>
      <c r="Q24" s="4"/>
      <c r="R24" s="4" t="s">
        <v>211</v>
      </c>
      <c r="S24" s="4" t="s">
        <v>212</v>
      </c>
      <c r="T24" s="4"/>
    </row>
    <row r="25" customFormat="false" ht="15" hidden="false" customHeight="false" outlineLevel="0" collapsed="false">
      <c r="A25" s="4" t="s">
        <v>213</v>
      </c>
      <c r="B25" s="4" t="s">
        <v>214</v>
      </c>
      <c r="C25" s="4" t="s">
        <v>209</v>
      </c>
      <c r="D25" s="4" t="s">
        <v>138</v>
      </c>
      <c r="E25" s="4" t="s">
        <v>72</v>
      </c>
      <c r="F25" s="2" t="s">
        <v>209</v>
      </c>
      <c r="G25" s="4" t="s">
        <v>106</v>
      </c>
      <c r="H25" s="4" t="s">
        <v>210</v>
      </c>
      <c r="I25" s="4" t="s">
        <v>107</v>
      </c>
      <c r="J25" s="4"/>
      <c r="K25" s="4" t="s">
        <v>116</v>
      </c>
      <c r="L25" s="4"/>
      <c r="M25" s="4" t="n">
        <v>80</v>
      </c>
      <c r="N25" s="4" t="n">
        <v>5.5</v>
      </c>
      <c r="O25" s="4"/>
      <c r="P25" s="4"/>
      <c r="Q25" s="4" t="s">
        <v>215</v>
      </c>
      <c r="R25" s="4"/>
      <c r="S25" s="4" t="s">
        <v>216</v>
      </c>
      <c r="T25" s="4"/>
    </row>
    <row r="26" customFormat="false" ht="15" hidden="false" customHeight="false" outlineLevel="0" collapsed="false">
      <c r="A26" s="4" t="s">
        <v>217</v>
      </c>
      <c r="B26" s="4" t="s">
        <v>218</v>
      </c>
      <c r="C26" s="4" t="s">
        <v>209</v>
      </c>
      <c r="D26" s="4" t="s">
        <v>122</v>
      </c>
      <c r="E26" s="4" t="s">
        <v>72</v>
      </c>
      <c r="F26" s="2" t="s">
        <v>209</v>
      </c>
      <c r="G26" s="4" t="s">
        <v>106</v>
      </c>
      <c r="H26" s="4"/>
      <c r="I26" s="4" t="s">
        <v>107</v>
      </c>
      <c r="J26" s="4"/>
      <c r="K26" s="4" t="s">
        <v>116</v>
      </c>
      <c r="L26" s="4"/>
      <c r="M26" s="4" t="n">
        <v>30</v>
      </c>
      <c r="N26" s="4" t="n">
        <v>2.6</v>
      </c>
      <c r="O26" s="4"/>
      <c r="P26" s="4"/>
      <c r="Q26" s="4"/>
      <c r="R26" s="4" t="s">
        <v>219</v>
      </c>
      <c r="S26" s="4" t="s">
        <v>220</v>
      </c>
      <c r="T26" s="4"/>
    </row>
    <row r="27" customFormat="false" ht="15" hidden="false" customHeight="false" outlineLevel="0" collapsed="false">
      <c r="A27" s="4" t="s">
        <v>221</v>
      </c>
      <c r="B27" s="4" t="s">
        <v>222</v>
      </c>
      <c r="C27" s="4" t="s">
        <v>209</v>
      </c>
      <c r="D27" s="4" t="s">
        <v>114</v>
      </c>
      <c r="E27" s="4" t="s">
        <v>72</v>
      </c>
      <c r="F27" s="2" t="s">
        <v>209</v>
      </c>
      <c r="G27" s="4" t="s">
        <v>106</v>
      </c>
      <c r="H27" s="4"/>
      <c r="I27" s="4" t="s">
        <v>107</v>
      </c>
      <c r="J27" s="4"/>
      <c r="K27" s="4" t="s">
        <v>116</v>
      </c>
      <c r="L27" s="4"/>
      <c r="M27" s="4" t="n">
        <v>40</v>
      </c>
      <c r="N27" s="4" t="n">
        <v>3.4</v>
      </c>
      <c r="O27" s="4"/>
      <c r="P27" s="4"/>
      <c r="Q27" s="4" t="s">
        <v>223</v>
      </c>
      <c r="R27" s="4"/>
      <c r="S27" s="4" t="s">
        <v>224</v>
      </c>
      <c r="T27" s="4"/>
    </row>
    <row r="28" customFormat="false" ht="15" hidden="false" customHeight="false" outlineLevel="0" collapsed="false">
      <c r="A28" s="4" t="s">
        <v>225</v>
      </c>
      <c r="B28" s="4" t="s">
        <v>226</v>
      </c>
      <c r="C28" s="4" t="s">
        <v>209</v>
      </c>
      <c r="D28" s="4" t="s">
        <v>122</v>
      </c>
      <c r="E28" s="4" t="s">
        <v>72</v>
      </c>
      <c r="F28" s="2" t="s">
        <v>209</v>
      </c>
      <c r="G28" s="4" t="s">
        <v>106</v>
      </c>
      <c r="H28" s="4"/>
      <c r="I28" s="4" t="s">
        <v>107</v>
      </c>
      <c r="J28" s="4"/>
      <c r="K28" s="4" t="s">
        <v>116</v>
      </c>
      <c r="L28" s="4"/>
      <c r="M28" s="4" t="n">
        <v>30</v>
      </c>
      <c r="N28" s="4" t="n">
        <v>2.4</v>
      </c>
      <c r="O28" s="4"/>
      <c r="P28" s="4"/>
      <c r="Q28" s="4"/>
      <c r="R28" s="4" t="s">
        <v>227</v>
      </c>
      <c r="S28" s="4" t="s">
        <v>228</v>
      </c>
      <c r="T28" s="4"/>
    </row>
    <row r="29" customFormat="false" ht="15" hidden="false" customHeight="false" outlineLevel="0" collapsed="false">
      <c r="A29" s="4" t="s">
        <v>229</v>
      </c>
      <c r="B29" s="4" t="s">
        <v>230</v>
      </c>
      <c r="C29" s="4" t="s">
        <v>209</v>
      </c>
      <c r="D29" s="4" t="s">
        <v>105</v>
      </c>
      <c r="E29" s="4" t="s">
        <v>72</v>
      </c>
      <c r="F29" s="2" t="s">
        <v>209</v>
      </c>
      <c r="G29" s="4" t="s">
        <v>106</v>
      </c>
      <c r="H29" s="4"/>
      <c r="I29" s="4" t="s">
        <v>107</v>
      </c>
      <c r="J29" s="4"/>
      <c r="K29" s="4" t="s">
        <v>116</v>
      </c>
      <c r="L29" s="4"/>
      <c r="M29" s="4" t="n">
        <v>40</v>
      </c>
      <c r="N29" s="4" t="n">
        <v>3</v>
      </c>
      <c r="O29" s="4"/>
      <c r="P29" s="4"/>
      <c r="Q29" s="4"/>
      <c r="R29" s="4"/>
      <c r="S29" s="4" t="s">
        <v>231</v>
      </c>
      <c r="T29" s="4"/>
    </row>
    <row r="30" customFormat="false" ht="15" hidden="false" customHeight="false" outlineLevel="0" collapsed="false">
      <c r="A30" s="4" t="s">
        <v>232</v>
      </c>
      <c r="B30" s="4" t="s">
        <v>233</v>
      </c>
      <c r="C30" s="4" t="s">
        <v>209</v>
      </c>
      <c r="D30" s="4" t="s">
        <v>155</v>
      </c>
      <c r="E30" s="4" t="s">
        <v>72</v>
      </c>
      <c r="F30" s="2" t="s">
        <v>209</v>
      </c>
      <c r="G30" s="4" t="s">
        <v>106</v>
      </c>
      <c r="H30" s="4"/>
      <c r="I30" s="4" t="s">
        <v>107</v>
      </c>
      <c r="J30" s="4"/>
      <c r="K30" s="4" t="s">
        <v>116</v>
      </c>
      <c r="L30" s="4" t="n">
        <v>3</v>
      </c>
      <c r="M30" s="4" t="n">
        <v>100</v>
      </c>
      <c r="N30" s="4" t="n">
        <v>0.001</v>
      </c>
      <c r="O30" s="4"/>
      <c r="P30" s="4"/>
      <c r="Q30" s="4" t="s">
        <v>160</v>
      </c>
      <c r="R30" s="4"/>
      <c r="S30" s="4" t="s">
        <v>161</v>
      </c>
      <c r="T30" s="4"/>
    </row>
    <row r="31" customFormat="false" ht="15" hidden="false" customHeight="false" outlineLevel="0" collapsed="false">
      <c r="A31" s="4" t="s">
        <v>234</v>
      </c>
      <c r="B31" s="4" t="s">
        <v>235</v>
      </c>
      <c r="C31" s="4" t="s">
        <v>209</v>
      </c>
      <c r="D31" s="4" t="s">
        <v>122</v>
      </c>
      <c r="E31" s="4" t="s">
        <v>72</v>
      </c>
      <c r="F31" s="2" t="s">
        <v>209</v>
      </c>
      <c r="G31" s="4" t="s">
        <v>106</v>
      </c>
      <c r="H31" s="4"/>
      <c r="I31" s="4" t="s">
        <v>107</v>
      </c>
      <c r="J31" s="4"/>
      <c r="K31" s="4" t="s">
        <v>116</v>
      </c>
      <c r="L31" s="4"/>
      <c r="M31" s="4" t="n">
        <v>35</v>
      </c>
      <c r="N31" s="4" t="n">
        <v>2.6</v>
      </c>
      <c r="O31" s="4"/>
      <c r="P31" s="4"/>
      <c r="Q31" s="4"/>
      <c r="R31" s="4" t="s">
        <v>236</v>
      </c>
      <c r="S31" s="4" t="s">
        <v>237</v>
      </c>
      <c r="T31" s="4"/>
    </row>
    <row r="32" customFormat="false" ht="15" hidden="false" customHeight="false" outlineLevel="0" collapsed="false">
      <c r="A32" s="4" t="s">
        <v>238</v>
      </c>
      <c r="B32" s="4" t="s">
        <v>239</v>
      </c>
      <c r="C32" s="4" t="s">
        <v>209</v>
      </c>
      <c r="D32" s="4" t="s">
        <v>105</v>
      </c>
      <c r="E32" s="4" t="s">
        <v>72</v>
      </c>
      <c r="F32" s="2" t="s">
        <v>209</v>
      </c>
      <c r="G32" s="4" t="s">
        <v>106</v>
      </c>
      <c r="H32" s="4"/>
      <c r="I32" s="4" t="s">
        <v>107</v>
      </c>
      <c r="J32" s="4"/>
      <c r="K32" s="4" t="s">
        <v>116</v>
      </c>
      <c r="L32" s="4"/>
      <c r="M32" s="4" t="n">
        <v>45</v>
      </c>
      <c r="N32" s="4" t="n">
        <v>3.2</v>
      </c>
      <c r="O32" s="4"/>
      <c r="P32" s="4"/>
      <c r="Q32" s="4" t="s">
        <v>238</v>
      </c>
      <c r="R32" s="4"/>
      <c r="S32" s="4" t="s">
        <v>178</v>
      </c>
      <c r="T32" s="4"/>
    </row>
    <row r="33" customFormat="false" ht="15" hidden="false" customHeight="false" outlineLevel="0" collapsed="false">
      <c r="A33" s="4" t="s">
        <v>240</v>
      </c>
      <c r="B33" s="4" t="s">
        <v>241</v>
      </c>
      <c r="C33" s="4" t="s">
        <v>209</v>
      </c>
      <c r="D33" s="4" t="s">
        <v>197</v>
      </c>
      <c r="E33" s="4" t="s">
        <v>72</v>
      </c>
      <c r="F33" s="2" t="s">
        <v>209</v>
      </c>
      <c r="G33" s="4" t="s">
        <v>106</v>
      </c>
      <c r="H33" s="4"/>
      <c r="I33" s="4" t="s">
        <v>107</v>
      </c>
      <c r="J33" s="4"/>
      <c r="K33" s="4" t="s">
        <v>116</v>
      </c>
      <c r="L33" s="4"/>
      <c r="M33" s="4" t="n">
        <v>60</v>
      </c>
      <c r="N33" s="4" t="n">
        <v>3.4</v>
      </c>
      <c r="O33" s="4"/>
      <c r="P33" s="4"/>
      <c r="Q33" s="4"/>
      <c r="R33" s="4" t="s">
        <v>242</v>
      </c>
      <c r="S33" s="4" t="s">
        <v>243</v>
      </c>
      <c r="T33" s="4"/>
    </row>
    <row r="34" customFormat="false" ht="15" hidden="false" customHeight="false" outlineLevel="0" collapsed="false">
      <c r="A34" s="4" t="s">
        <v>244</v>
      </c>
      <c r="B34" s="4" t="s">
        <v>245</v>
      </c>
      <c r="C34" s="4" t="s">
        <v>209</v>
      </c>
      <c r="D34" s="4" t="s">
        <v>122</v>
      </c>
      <c r="E34" s="4" t="s">
        <v>72</v>
      </c>
      <c r="F34" s="2" t="s">
        <v>209</v>
      </c>
      <c r="G34" s="4" t="s">
        <v>106</v>
      </c>
      <c r="H34" s="4"/>
      <c r="I34" s="4" t="s">
        <v>107</v>
      </c>
      <c r="J34" s="4"/>
      <c r="K34" s="4" t="s">
        <v>116</v>
      </c>
      <c r="L34" s="4"/>
      <c r="M34" s="4" t="n">
        <v>80</v>
      </c>
      <c r="N34" s="4" t="n">
        <v>4</v>
      </c>
      <c r="O34" s="4"/>
      <c r="P34" s="4"/>
      <c r="Q34" s="4"/>
      <c r="R34" s="4"/>
      <c r="S34" s="4" t="s">
        <v>246</v>
      </c>
      <c r="T34" s="4"/>
    </row>
    <row r="35" customFormat="false" ht="15" hidden="false" customHeight="false" outlineLevel="0" collapsed="false">
      <c r="A35" s="4" t="s">
        <v>247</v>
      </c>
      <c r="B35" s="4" t="s">
        <v>248</v>
      </c>
      <c r="C35" s="4" t="s">
        <v>209</v>
      </c>
      <c r="D35" s="4" t="s">
        <v>197</v>
      </c>
      <c r="E35" s="4" t="s">
        <v>72</v>
      </c>
      <c r="F35" s="2" t="s">
        <v>209</v>
      </c>
      <c r="G35" s="4" t="s">
        <v>106</v>
      </c>
      <c r="H35" s="4"/>
      <c r="I35" s="4" t="s">
        <v>107</v>
      </c>
      <c r="J35" s="4"/>
      <c r="K35" s="4" t="s">
        <v>116</v>
      </c>
      <c r="L35" s="4"/>
      <c r="M35" s="4" t="n">
        <v>40</v>
      </c>
      <c r="N35" s="4" t="n">
        <v>3</v>
      </c>
      <c r="O35" s="4"/>
      <c r="P35" s="4"/>
      <c r="Q35" s="4"/>
      <c r="R35" s="4" t="s">
        <v>249</v>
      </c>
      <c r="S35" s="4" t="s">
        <v>250</v>
      </c>
      <c r="T35" s="4"/>
    </row>
    <row r="36" customFormat="false" ht="15" hidden="false" customHeight="false" outlineLevel="0" collapsed="false">
      <c r="A36" s="4" t="s">
        <v>251</v>
      </c>
      <c r="B36" s="4" t="s">
        <v>252</v>
      </c>
      <c r="C36" s="4" t="s">
        <v>209</v>
      </c>
      <c r="D36" s="4" t="s">
        <v>149</v>
      </c>
      <c r="E36" s="4" t="s">
        <v>72</v>
      </c>
      <c r="F36" s="2" t="s">
        <v>209</v>
      </c>
      <c r="G36" s="4" t="s">
        <v>106</v>
      </c>
      <c r="H36" s="4"/>
      <c r="I36" s="4" t="s">
        <v>107</v>
      </c>
      <c r="J36" s="4"/>
      <c r="K36" s="4" t="s">
        <v>116</v>
      </c>
      <c r="L36" s="4"/>
      <c r="M36" s="4" t="n">
        <v>50</v>
      </c>
      <c r="N36" s="4" t="n">
        <v>3.6</v>
      </c>
      <c r="O36" s="4"/>
      <c r="P36" s="4"/>
      <c r="Q36" s="4" t="s">
        <v>251</v>
      </c>
      <c r="R36" s="4"/>
      <c r="S36" s="4" t="s">
        <v>253</v>
      </c>
      <c r="T36" s="4"/>
    </row>
    <row r="37" customFormat="false" ht="15" hidden="false" customHeight="false" outlineLevel="0" collapsed="false">
      <c r="A37" s="4" t="s">
        <v>254</v>
      </c>
      <c r="B37" s="4" t="s">
        <v>255</v>
      </c>
      <c r="C37" s="4" t="s">
        <v>209</v>
      </c>
      <c r="D37" s="4" t="s">
        <v>122</v>
      </c>
      <c r="E37" s="4" t="s">
        <v>72</v>
      </c>
      <c r="F37" s="2" t="s">
        <v>209</v>
      </c>
      <c r="G37" s="4" t="s">
        <v>106</v>
      </c>
      <c r="H37" s="4"/>
      <c r="I37" s="4" t="s">
        <v>107</v>
      </c>
      <c r="J37" s="4"/>
      <c r="K37" s="4" t="s">
        <v>116</v>
      </c>
      <c r="L37" s="4"/>
      <c r="M37" s="4" t="n">
        <v>30</v>
      </c>
      <c r="N37" s="4" t="n">
        <v>2.2</v>
      </c>
      <c r="O37" s="4"/>
      <c r="P37" s="4"/>
      <c r="Q37" s="4"/>
      <c r="R37" s="4" t="s">
        <v>256</v>
      </c>
      <c r="S37" s="4" t="s">
        <v>257</v>
      </c>
      <c r="T37" s="4"/>
    </row>
    <row r="38" customFormat="false" ht="15" hidden="false" customHeight="false" outlineLevel="0" collapsed="false">
      <c r="A38" s="4" t="s">
        <v>258</v>
      </c>
      <c r="B38" s="4" t="s">
        <v>259</v>
      </c>
      <c r="C38" s="4" t="s">
        <v>209</v>
      </c>
      <c r="D38" s="4" t="s">
        <v>138</v>
      </c>
      <c r="E38" s="4" t="s">
        <v>72</v>
      </c>
      <c r="F38" s="2" t="s">
        <v>209</v>
      </c>
      <c r="G38" s="4" t="s">
        <v>106</v>
      </c>
      <c r="H38" s="4"/>
      <c r="I38" s="4" t="s">
        <v>107</v>
      </c>
      <c r="J38" s="4"/>
      <c r="K38" s="4" t="s">
        <v>116</v>
      </c>
      <c r="L38" s="4"/>
      <c r="M38" s="4" t="n">
        <v>50</v>
      </c>
      <c r="N38" s="4" t="n">
        <v>3.4</v>
      </c>
      <c r="O38" s="4"/>
      <c r="P38" s="4"/>
      <c r="Q38" s="4"/>
      <c r="R38" s="4"/>
      <c r="S38" s="4" t="s">
        <v>141</v>
      </c>
      <c r="T38" s="4"/>
    </row>
    <row r="39" customFormat="false" ht="15" hidden="false" customHeight="false" outlineLevel="0" collapsed="false">
      <c r="A39" s="4" t="s">
        <v>260</v>
      </c>
      <c r="B39" s="4" t="s">
        <v>261</v>
      </c>
      <c r="C39" s="4" t="s">
        <v>209</v>
      </c>
      <c r="D39" s="4" t="s">
        <v>122</v>
      </c>
      <c r="E39" s="4" t="s">
        <v>72</v>
      </c>
      <c r="F39" s="2" t="s">
        <v>209</v>
      </c>
      <c r="G39" s="4" t="s">
        <v>106</v>
      </c>
      <c r="H39" s="4"/>
      <c r="I39" s="4" t="s">
        <v>107</v>
      </c>
      <c r="J39" s="4"/>
      <c r="K39" s="4" t="s">
        <v>116</v>
      </c>
      <c r="L39" s="4"/>
      <c r="M39" s="4" t="n">
        <v>35</v>
      </c>
      <c r="N39" s="4" t="n">
        <v>2.4</v>
      </c>
      <c r="O39" s="4"/>
      <c r="P39" s="4"/>
      <c r="Q39" s="4"/>
      <c r="R39" s="4" t="s">
        <v>262</v>
      </c>
      <c r="S39" s="4" t="s">
        <v>263</v>
      </c>
      <c r="T39" s="4"/>
    </row>
    <row r="40" customFormat="false" ht="15" hidden="false" customHeight="false" outlineLevel="0" collapsed="false">
      <c r="A40" s="4" t="s">
        <v>264</v>
      </c>
      <c r="B40" s="4" t="s">
        <v>154</v>
      </c>
      <c r="C40" s="4" t="s">
        <v>209</v>
      </c>
      <c r="D40" s="4" t="s">
        <v>155</v>
      </c>
      <c r="E40" s="4" t="s">
        <v>72</v>
      </c>
      <c r="F40" s="2" t="s">
        <v>209</v>
      </c>
      <c r="G40" s="4" t="s">
        <v>106</v>
      </c>
      <c r="H40" s="4"/>
      <c r="I40" s="4" t="s">
        <v>107</v>
      </c>
      <c r="J40" s="4"/>
      <c r="K40" s="4" t="s">
        <v>116</v>
      </c>
      <c r="L40" s="4" t="n">
        <v>2</v>
      </c>
      <c r="M40" s="4" t="n">
        <v>80</v>
      </c>
      <c r="N40" s="4" t="n">
        <v>0.001</v>
      </c>
      <c r="O40" s="4"/>
      <c r="P40" s="4"/>
      <c r="Q40" s="4" t="s">
        <v>156</v>
      </c>
      <c r="R40" s="4"/>
      <c r="S40" s="4" t="s">
        <v>157</v>
      </c>
      <c r="T40" s="4"/>
    </row>
    <row r="41" customFormat="false" ht="15" hidden="false" customHeight="false" outlineLevel="0" collapsed="false">
      <c r="A41" s="4" t="s">
        <v>265</v>
      </c>
      <c r="B41" s="4" t="s">
        <v>266</v>
      </c>
      <c r="C41" s="4" t="s">
        <v>209</v>
      </c>
      <c r="D41" s="4" t="s">
        <v>122</v>
      </c>
      <c r="E41" s="4" t="s">
        <v>72</v>
      </c>
      <c r="F41" s="2" t="s">
        <v>209</v>
      </c>
      <c r="G41" s="4" t="s">
        <v>106</v>
      </c>
      <c r="H41" s="4"/>
      <c r="I41" s="4" t="s">
        <v>107</v>
      </c>
      <c r="J41" s="4"/>
      <c r="K41" s="4" t="s">
        <v>116</v>
      </c>
      <c r="L41" s="4"/>
      <c r="M41" s="4" t="n">
        <v>35</v>
      </c>
      <c r="N41" s="4" t="n">
        <v>2.6</v>
      </c>
      <c r="O41" s="4"/>
      <c r="P41" s="4"/>
      <c r="Q41" s="4"/>
      <c r="R41" s="4" t="s">
        <v>267</v>
      </c>
      <c r="S41" s="4" t="s">
        <v>268</v>
      </c>
      <c r="T41" s="4"/>
    </row>
    <row r="42" customFormat="false" ht="15" hidden="false" customHeight="false" outlineLevel="0" collapsed="false">
      <c r="A42" s="4" t="s">
        <v>269</v>
      </c>
      <c r="B42" s="4" t="s">
        <v>270</v>
      </c>
      <c r="C42" s="4" t="s">
        <v>209</v>
      </c>
      <c r="D42" s="4" t="s">
        <v>149</v>
      </c>
      <c r="E42" s="4" t="s">
        <v>72</v>
      </c>
      <c r="F42" s="2" t="s">
        <v>209</v>
      </c>
      <c r="G42" s="4" t="s">
        <v>106</v>
      </c>
      <c r="H42" s="4"/>
      <c r="I42" s="4" t="s">
        <v>107</v>
      </c>
      <c r="J42" s="4"/>
      <c r="K42" s="4" t="s">
        <v>116</v>
      </c>
      <c r="L42" s="4"/>
      <c r="M42" s="4" t="n">
        <v>45</v>
      </c>
      <c r="N42" s="4" t="n">
        <v>3.4</v>
      </c>
      <c r="O42" s="4"/>
      <c r="P42" s="4"/>
      <c r="Q42" s="4"/>
      <c r="R42" s="4"/>
      <c r="S42" s="4" t="s">
        <v>271</v>
      </c>
      <c r="T42" s="4"/>
    </row>
    <row r="43" customFormat="false" ht="15" hidden="false" customHeight="false" outlineLevel="0" collapsed="false">
      <c r="A43" s="4" t="s">
        <v>272</v>
      </c>
      <c r="B43" s="4" t="s">
        <v>273</v>
      </c>
      <c r="C43" s="4" t="s">
        <v>209</v>
      </c>
      <c r="D43" s="4" t="s">
        <v>122</v>
      </c>
      <c r="E43" s="4" t="s">
        <v>72</v>
      </c>
      <c r="F43" s="2" t="s">
        <v>209</v>
      </c>
      <c r="G43" s="4" t="s">
        <v>106</v>
      </c>
      <c r="H43" s="4"/>
      <c r="I43" s="4" t="s">
        <v>107</v>
      </c>
      <c r="J43" s="4"/>
      <c r="K43" s="4" t="s">
        <v>116</v>
      </c>
      <c r="L43" s="4"/>
      <c r="M43" s="4" t="n">
        <v>35</v>
      </c>
      <c r="N43" s="4" t="n">
        <v>2.6</v>
      </c>
      <c r="O43" s="4"/>
      <c r="P43" s="4"/>
      <c r="Q43" s="4"/>
      <c r="R43" s="4" t="s">
        <v>274</v>
      </c>
      <c r="S43" s="4" t="s">
        <v>275</v>
      </c>
      <c r="T43" s="4"/>
    </row>
    <row r="44" customFormat="false" ht="15" hidden="false" customHeight="false" outlineLevel="0" collapsed="false">
      <c r="A44" s="4" t="s">
        <v>276</v>
      </c>
      <c r="B44" s="4" t="s">
        <v>277</v>
      </c>
      <c r="C44" s="4" t="s">
        <v>209</v>
      </c>
      <c r="D44" s="4" t="s">
        <v>149</v>
      </c>
      <c r="E44" s="4" t="s">
        <v>72</v>
      </c>
      <c r="F44" s="2" t="s">
        <v>209</v>
      </c>
      <c r="G44" s="4" t="s">
        <v>106</v>
      </c>
      <c r="H44" s="4"/>
      <c r="I44" s="4" t="s">
        <v>107</v>
      </c>
      <c r="J44" s="4"/>
      <c r="K44" s="4" t="s">
        <v>116</v>
      </c>
      <c r="L44" s="4"/>
      <c r="M44" s="4" t="n">
        <v>50</v>
      </c>
      <c r="N44" s="4" t="n">
        <v>3.6</v>
      </c>
      <c r="O44" s="4"/>
      <c r="P44" s="4"/>
      <c r="Q44" s="4" t="s">
        <v>276</v>
      </c>
      <c r="R44" s="4"/>
      <c r="S44" s="4" t="s">
        <v>278</v>
      </c>
      <c r="T44" s="4"/>
    </row>
    <row r="45" customFormat="false" ht="15" hidden="false" customHeight="false" outlineLevel="0" collapsed="false">
      <c r="A45" s="4" t="s">
        <v>279</v>
      </c>
      <c r="B45" s="4" t="s">
        <v>280</v>
      </c>
      <c r="C45" s="4" t="s">
        <v>209</v>
      </c>
      <c r="D45" s="4" t="s">
        <v>122</v>
      </c>
      <c r="E45" s="4" t="s">
        <v>72</v>
      </c>
      <c r="F45" s="2" t="s">
        <v>209</v>
      </c>
      <c r="G45" s="4" t="s">
        <v>106</v>
      </c>
      <c r="H45" s="4"/>
      <c r="I45" s="4" t="s">
        <v>107</v>
      </c>
      <c r="J45" s="4"/>
      <c r="K45" s="4" t="s">
        <v>116</v>
      </c>
      <c r="L45" s="4"/>
      <c r="M45" s="4" t="n">
        <v>30</v>
      </c>
      <c r="N45" s="4" t="n">
        <v>2.4</v>
      </c>
      <c r="O45" s="4"/>
      <c r="P45" s="4"/>
      <c r="Q45" s="4"/>
      <c r="R45" s="4" t="s">
        <v>281</v>
      </c>
      <c r="S45" s="4" t="s">
        <v>282</v>
      </c>
      <c r="T45" s="4"/>
    </row>
    <row r="46" customFormat="false" ht="15" hidden="false" customHeight="false" outlineLevel="0" collapsed="false">
      <c r="A46" s="4" t="s">
        <v>283</v>
      </c>
      <c r="B46" s="4" t="s">
        <v>284</v>
      </c>
      <c r="C46" s="4" t="s">
        <v>209</v>
      </c>
      <c r="D46" s="4" t="s">
        <v>122</v>
      </c>
      <c r="E46" s="4" t="s">
        <v>72</v>
      </c>
      <c r="F46" s="2" t="s">
        <v>209</v>
      </c>
      <c r="G46" s="4" t="s">
        <v>106</v>
      </c>
      <c r="H46" s="4"/>
      <c r="I46" s="4" t="s">
        <v>107</v>
      </c>
      <c r="J46" s="4"/>
      <c r="K46" s="4" t="s">
        <v>116</v>
      </c>
      <c r="L46" s="4"/>
      <c r="M46" s="4" t="n">
        <v>45</v>
      </c>
      <c r="N46" s="4" t="n">
        <v>3</v>
      </c>
      <c r="O46" s="4"/>
      <c r="P46" s="4"/>
      <c r="Q46" s="4"/>
      <c r="R46" s="4" t="s">
        <v>285</v>
      </c>
      <c r="S46" s="4" t="s">
        <v>286</v>
      </c>
      <c r="T46" s="4"/>
    </row>
    <row r="47" customFormat="false" ht="15" hidden="false" customHeight="false" outlineLevel="0" collapsed="false">
      <c r="A47" s="4" t="s">
        <v>287</v>
      </c>
      <c r="B47" s="4" t="s">
        <v>288</v>
      </c>
      <c r="C47" s="4" t="s">
        <v>209</v>
      </c>
      <c r="D47" s="4" t="s">
        <v>182</v>
      </c>
      <c r="E47" s="4" t="s">
        <v>72</v>
      </c>
      <c r="F47" s="2" t="s">
        <v>209</v>
      </c>
      <c r="G47" s="4" t="s">
        <v>106</v>
      </c>
      <c r="H47" s="4"/>
      <c r="I47" s="4" t="s">
        <v>107</v>
      </c>
      <c r="J47" s="4" t="s">
        <v>166</v>
      </c>
      <c r="K47" s="4" t="s">
        <v>116</v>
      </c>
      <c r="L47" s="4"/>
      <c r="M47" s="4" t="n">
        <v>90</v>
      </c>
      <c r="N47" s="4" t="n">
        <v>4.5</v>
      </c>
      <c r="O47" s="4"/>
      <c r="P47" s="4"/>
      <c r="Q47" s="4"/>
      <c r="R47" s="4"/>
      <c r="S47" s="4" t="s">
        <v>289</v>
      </c>
      <c r="T47" s="4"/>
    </row>
    <row r="48" customFormat="false" ht="15" hidden="false" customHeight="false" outlineLevel="0" collapsed="false">
      <c r="A48" s="4" t="s">
        <v>290</v>
      </c>
      <c r="B48" s="4" t="s">
        <v>291</v>
      </c>
      <c r="C48" s="4" t="s">
        <v>209</v>
      </c>
      <c r="D48" s="4" t="s">
        <v>122</v>
      </c>
      <c r="E48" s="4" t="s">
        <v>72</v>
      </c>
      <c r="F48" s="2" t="s">
        <v>209</v>
      </c>
      <c r="G48" s="4" t="s">
        <v>106</v>
      </c>
      <c r="H48" s="4"/>
      <c r="I48" s="4" t="s">
        <v>107</v>
      </c>
      <c r="J48" s="4"/>
      <c r="K48" s="4" t="s">
        <v>116</v>
      </c>
      <c r="L48" s="4"/>
      <c r="M48" s="4" t="n">
        <v>60</v>
      </c>
      <c r="N48" s="4" t="n">
        <v>3.2</v>
      </c>
      <c r="O48" s="4"/>
      <c r="P48" s="4"/>
      <c r="Q48" s="4"/>
      <c r="R48" s="4" t="s">
        <v>292</v>
      </c>
      <c r="S48" s="4" t="s">
        <v>293</v>
      </c>
      <c r="T48" s="4"/>
    </row>
    <row r="49" customFormat="false" ht="15" hidden="false" customHeight="false" outlineLevel="0" collapsed="false">
      <c r="A49" s="4" t="s">
        <v>294</v>
      </c>
      <c r="B49" s="4" t="s">
        <v>295</v>
      </c>
      <c r="C49" s="4" t="s">
        <v>296</v>
      </c>
      <c r="D49" s="4" t="s">
        <v>149</v>
      </c>
      <c r="E49" s="4" t="s">
        <v>72</v>
      </c>
      <c r="F49" s="7" t="n">
        <v>10</v>
      </c>
      <c r="G49" s="4" t="s">
        <v>297</v>
      </c>
      <c r="H49" s="4"/>
      <c r="I49" s="4" t="s">
        <v>298</v>
      </c>
      <c r="J49" s="4"/>
      <c r="K49" s="4" t="s">
        <v>116</v>
      </c>
      <c r="L49" s="4"/>
      <c r="M49" s="4" t="n">
        <v>40</v>
      </c>
      <c r="N49" s="4" t="n">
        <v>3.1</v>
      </c>
      <c r="O49" s="4"/>
      <c r="P49" s="4"/>
      <c r="Q49" s="4" t="s">
        <v>299</v>
      </c>
      <c r="R49" s="4" t="s">
        <v>300</v>
      </c>
      <c r="S49" s="4" t="s">
        <v>301</v>
      </c>
      <c r="T49" s="4"/>
    </row>
    <row r="50" customFormat="false" ht="15" hidden="false" customHeight="false" outlineLevel="0" collapsed="false">
      <c r="A50" s="4" t="s">
        <v>302</v>
      </c>
      <c r="B50" s="4" t="s">
        <v>303</v>
      </c>
      <c r="C50" s="4" t="s">
        <v>296</v>
      </c>
      <c r="D50" s="4" t="s">
        <v>149</v>
      </c>
      <c r="E50" s="4" t="s">
        <v>72</v>
      </c>
      <c r="F50" s="7" t="n">
        <v>8</v>
      </c>
      <c r="G50" s="4" t="s">
        <v>297</v>
      </c>
      <c r="H50" s="4"/>
      <c r="I50" s="4" t="s">
        <v>298</v>
      </c>
      <c r="J50" s="4"/>
      <c r="K50" s="4" t="s">
        <v>116</v>
      </c>
      <c r="L50" s="4"/>
      <c r="M50" s="4" t="n">
        <v>35</v>
      </c>
      <c r="N50" s="4" t="n">
        <v>2.6</v>
      </c>
      <c r="O50" s="4"/>
      <c r="P50" s="4"/>
      <c r="Q50" s="4"/>
      <c r="R50" s="4" t="s">
        <v>304</v>
      </c>
      <c r="S50" s="4" t="s">
        <v>305</v>
      </c>
      <c r="T50" s="4"/>
    </row>
    <row r="51" customFormat="false" ht="15" hidden="false" customHeight="false" outlineLevel="0" collapsed="false">
      <c r="A51" s="4" t="s">
        <v>306</v>
      </c>
      <c r="B51" s="4" t="s">
        <v>307</v>
      </c>
      <c r="C51" s="4" t="s">
        <v>296</v>
      </c>
      <c r="D51" s="4" t="s">
        <v>149</v>
      </c>
      <c r="E51" s="4" t="s">
        <v>72</v>
      </c>
      <c r="F51" s="7" t="n">
        <v>7</v>
      </c>
      <c r="G51" s="4" t="s">
        <v>297</v>
      </c>
      <c r="H51" s="4"/>
      <c r="I51" s="4" t="s">
        <v>298</v>
      </c>
      <c r="J51" s="4"/>
      <c r="K51" s="4" t="s">
        <v>116</v>
      </c>
      <c r="L51" s="4"/>
      <c r="M51" s="4" t="n">
        <v>35</v>
      </c>
      <c r="N51" s="4" t="n">
        <v>2.8</v>
      </c>
      <c r="O51" s="4"/>
      <c r="P51" s="4"/>
      <c r="Q51" s="4"/>
      <c r="R51" s="4"/>
      <c r="S51" s="4" t="s">
        <v>308</v>
      </c>
      <c r="T51" s="4"/>
    </row>
    <row r="52" customFormat="false" ht="15" hidden="false" customHeight="false" outlineLevel="0" collapsed="false">
      <c r="A52" s="4" t="s">
        <v>309</v>
      </c>
      <c r="B52" s="4" t="s">
        <v>310</v>
      </c>
      <c r="C52" s="4" t="s">
        <v>296</v>
      </c>
      <c r="D52" s="4" t="s">
        <v>149</v>
      </c>
      <c r="E52" s="4" t="s">
        <v>72</v>
      </c>
      <c r="F52" s="7" t="n">
        <v>10</v>
      </c>
      <c r="G52" s="4" t="s">
        <v>198</v>
      </c>
      <c r="H52" s="4"/>
      <c r="I52" s="4" t="s">
        <v>311</v>
      </c>
      <c r="J52" s="4"/>
      <c r="K52" s="4" t="s">
        <v>116</v>
      </c>
      <c r="L52" s="4"/>
      <c r="M52" s="4" t="n">
        <v>45</v>
      </c>
      <c r="N52" s="4" t="n">
        <v>3.4</v>
      </c>
      <c r="O52" s="4"/>
      <c r="P52" s="4"/>
      <c r="Q52" s="4" t="s">
        <v>299</v>
      </c>
      <c r="R52" s="4"/>
      <c r="S52" s="4" t="s">
        <v>312</v>
      </c>
      <c r="T52" s="4"/>
    </row>
    <row r="53" customFormat="false" ht="15" hidden="false" customHeight="false" outlineLevel="0" collapsed="false">
      <c r="A53" s="4" t="s">
        <v>313</v>
      </c>
      <c r="B53" s="4" t="s">
        <v>314</v>
      </c>
      <c r="C53" s="4" t="s">
        <v>296</v>
      </c>
      <c r="D53" s="4" t="s">
        <v>164</v>
      </c>
      <c r="E53" s="4" t="s">
        <v>72</v>
      </c>
      <c r="F53" s="7" t="n">
        <v>6</v>
      </c>
      <c r="G53" s="4" t="s">
        <v>198</v>
      </c>
      <c r="H53" s="4"/>
      <c r="I53" s="4" t="s">
        <v>311</v>
      </c>
      <c r="J53" s="4"/>
      <c r="K53" s="4" t="s">
        <v>116</v>
      </c>
      <c r="L53" s="4"/>
      <c r="M53" s="4" t="n">
        <v>60</v>
      </c>
      <c r="N53" s="4" t="n">
        <v>3.6</v>
      </c>
      <c r="O53" s="4"/>
      <c r="P53" s="4"/>
      <c r="Q53" s="4"/>
      <c r="R53" s="4"/>
      <c r="S53" s="4" t="s">
        <v>315</v>
      </c>
      <c r="T53" s="4"/>
    </row>
    <row r="54" customFormat="false" ht="15" hidden="false" customHeight="false" outlineLevel="0" collapsed="false">
      <c r="A54" s="4" t="s">
        <v>316</v>
      </c>
      <c r="B54" s="4" t="s">
        <v>317</v>
      </c>
      <c r="C54" s="4" t="s">
        <v>296</v>
      </c>
      <c r="D54" s="4" t="s">
        <v>149</v>
      </c>
      <c r="E54" s="4" t="s">
        <v>72</v>
      </c>
      <c r="F54" s="7" t="n">
        <v>5</v>
      </c>
      <c r="G54" s="4" t="s">
        <v>198</v>
      </c>
      <c r="H54" s="4"/>
      <c r="I54" s="4" t="s">
        <v>311</v>
      </c>
      <c r="J54" s="4"/>
      <c r="K54" s="4" t="s">
        <v>116</v>
      </c>
      <c r="L54" s="4"/>
      <c r="M54" s="4" t="n">
        <v>55</v>
      </c>
      <c r="N54" s="4" t="n">
        <v>4</v>
      </c>
      <c r="O54" s="4"/>
      <c r="P54" s="4"/>
      <c r="Q54" s="4"/>
      <c r="R54" s="4"/>
      <c r="S54" s="4" t="s">
        <v>318</v>
      </c>
      <c r="T54" s="4"/>
    </row>
    <row r="55" customFormat="false" ht="15" hidden="false" customHeight="false" outlineLevel="0" collapsed="false">
      <c r="A55" s="4" t="s">
        <v>319</v>
      </c>
      <c r="B55" s="4" t="s">
        <v>320</v>
      </c>
      <c r="C55" s="4" t="s">
        <v>296</v>
      </c>
      <c r="D55" s="4" t="s">
        <v>197</v>
      </c>
      <c r="E55" s="4" t="s">
        <v>72</v>
      </c>
      <c r="F55" s="7" t="n">
        <v>6</v>
      </c>
      <c r="G55" s="4" t="s">
        <v>198</v>
      </c>
      <c r="H55" s="4"/>
      <c r="I55" s="4" t="s">
        <v>311</v>
      </c>
      <c r="J55" s="4"/>
      <c r="K55" s="4" t="s">
        <v>116</v>
      </c>
      <c r="L55" s="4"/>
      <c r="M55" s="4" t="n">
        <v>75</v>
      </c>
      <c r="N55" s="4" t="n">
        <v>4.2</v>
      </c>
      <c r="O55" s="4"/>
      <c r="P55" s="4"/>
      <c r="Q55" s="4"/>
      <c r="R55" s="4"/>
      <c r="S55" s="4" t="s">
        <v>321</v>
      </c>
      <c r="T55" s="4"/>
    </row>
    <row r="56" customFormat="false" ht="15" hidden="false" customHeight="false" outlineLevel="0" collapsed="false">
      <c r="A56" s="4" t="s">
        <v>322</v>
      </c>
      <c r="B56" s="4" t="s">
        <v>323</v>
      </c>
      <c r="C56" s="4" t="s">
        <v>296</v>
      </c>
      <c r="D56" s="4" t="s">
        <v>114</v>
      </c>
      <c r="E56" s="4" t="s">
        <v>72</v>
      </c>
      <c r="F56" s="7" t="n">
        <v>10</v>
      </c>
      <c r="G56" s="4" t="s">
        <v>297</v>
      </c>
      <c r="H56" s="4"/>
      <c r="I56" s="4" t="s">
        <v>324</v>
      </c>
      <c r="J56" s="4"/>
      <c r="K56" s="4" t="s">
        <v>116</v>
      </c>
      <c r="L56" s="4"/>
      <c r="M56" s="4" t="n">
        <v>40</v>
      </c>
      <c r="N56" s="4" t="n">
        <v>3</v>
      </c>
      <c r="O56" s="4"/>
      <c r="P56" s="4"/>
      <c r="Q56" s="4"/>
      <c r="R56" s="4"/>
      <c r="S56" s="4" t="s">
        <v>325</v>
      </c>
      <c r="T56" s="4"/>
    </row>
    <row r="57" customFormat="false" ht="15" hidden="false" customHeight="false" outlineLevel="0" collapsed="false">
      <c r="A57" s="4" t="s">
        <v>326</v>
      </c>
      <c r="B57" s="4" t="s">
        <v>327</v>
      </c>
      <c r="C57" s="4" t="s">
        <v>296</v>
      </c>
      <c r="D57" s="4" t="s">
        <v>149</v>
      </c>
      <c r="E57" s="4" t="s">
        <v>72</v>
      </c>
      <c r="F57" s="7" t="n">
        <v>8</v>
      </c>
      <c r="G57" s="4" t="s">
        <v>297</v>
      </c>
      <c r="H57" s="4"/>
      <c r="I57" s="4" t="s">
        <v>324</v>
      </c>
      <c r="J57" s="4"/>
      <c r="K57" s="4" t="s">
        <v>116</v>
      </c>
      <c r="L57" s="4"/>
      <c r="M57" s="4" t="n">
        <v>45</v>
      </c>
      <c r="N57" s="4" t="n">
        <v>3.2</v>
      </c>
      <c r="O57" s="4"/>
      <c r="P57" s="4"/>
      <c r="Q57" s="4" t="s">
        <v>299</v>
      </c>
      <c r="R57" s="4"/>
      <c r="S57" s="4" t="s">
        <v>328</v>
      </c>
      <c r="T57" s="4"/>
    </row>
    <row r="58" customFormat="false" ht="15" hidden="false" customHeight="false" outlineLevel="0" collapsed="false">
      <c r="A58" s="4" t="s">
        <v>329</v>
      </c>
      <c r="B58" s="4" t="s">
        <v>330</v>
      </c>
      <c r="C58" s="4" t="s">
        <v>296</v>
      </c>
      <c r="D58" s="4" t="s">
        <v>164</v>
      </c>
      <c r="E58" s="4" t="s">
        <v>72</v>
      </c>
      <c r="F58" s="7" t="n">
        <v>6</v>
      </c>
      <c r="G58" s="4" t="s">
        <v>297</v>
      </c>
      <c r="H58" s="4"/>
      <c r="I58" s="4" t="s">
        <v>324</v>
      </c>
      <c r="J58" s="4"/>
      <c r="K58" s="4" t="s">
        <v>116</v>
      </c>
      <c r="L58" s="4"/>
      <c r="M58" s="4" t="n">
        <v>50</v>
      </c>
      <c r="N58" s="4" t="n">
        <v>3</v>
      </c>
      <c r="O58" s="4"/>
      <c r="P58" s="4"/>
      <c r="Q58" s="4"/>
      <c r="R58" s="4"/>
      <c r="S58" s="4" t="s">
        <v>331</v>
      </c>
      <c r="T58" s="4"/>
    </row>
    <row r="59" customFormat="false" ht="15" hidden="false" customHeight="false" outlineLevel="0" collapsed="false">
      <c r="A59" s="4" t="s">
        <v>332</v>
      </c>
      <c r="B59" s="4" t="s">
        <v>333</v>
      </c>
      <c r="C59" s="4" t="s">
        <v>296</v>
      </c>
      <c r="D59" s="4" t="s">
        <v>149</v>
      </c>
      <c r="E59" s="4" t="s">
        <v>72</v>
      </c>
      <c r="F59" s="7" t="n">
        <v>9</v>
      </c>
      <c r="G59" s="4" t="s">
        <v>334</v>
      </c>
      <c r="H59" s="4"/>
      <c r="I59" s="4" t="s">
        <v>335</v>
      </c>
      <c r="J59" s="4"/>
      <c r="K59" s="4" t="s">
        <v>116</v>
      </c>
      <c r="L59" s="4"/>
      <c r="M59" s="4" t="n">
        <v>45</v>
      </c>
      <c r="N59" s="4" t="n">
        <v>3.4</v>
      </c>
      <c r="O59" s="4"/>
      <c r="P59" s="4"/>
      <c r="Q59" s="4"/>
      <c r="R59" s="4"/>
      <c r="S59" s="4" t="s">
        <v>336</v>
      </c>
      <c r="T59" s="4"/>
    </row>
    <row r="60" customFormat="false" ht="15" hidden="false" customHeight="false" outlineLevel="0" collapsed="false">
      <c r="A60" s="4" t="s">
        <v>337</v>
      </c>
      <c r="B60" s="4" t="s">
        <v>338</v>
      </c>
      <c r="C60" s="4" t="s">
        <v>296</v>
      </c>
      <c r="D60" s="4" t="s">
        <v>138</v>
      </c>
      <c r="E60" s="4" t="s">
        <v>72</v>
      </c>
      <c r="F60" s="7" t="n">
        <v>8</v>
      </c>
      <c r="G60" s="4" t="s">
        <v>334</v>
      </c>
      <c r="H60" s="4"/>
      <c r="I60" s="4" t="s">
        <v>335</v>
      </c>
      <c r="J60" s="4"/>
      <c r="K60" s="4" t="s">
        <v>116</v>
      </c>
      <c r="L60" s="4"/>
      <c r="M60" s="4" t="n">
        <v>45</v>
      </c>
      <c r="N60" s="4" t="n">
        <v>3</v>
      </c>
      <c r="O60" s="4"/>
      <c r="P60" s="4"/>
      <c r="Q60" s="4"/>
      <c r="R60" s="4"/>
      <c r="S60" s="4" t="s">
        <v>339</v>
      </c>
      <c r="T60" s="4"/>
    </row>
    <row r="61" customFormat="false" ht="15" hidden="false" customHeight="false" outlineLevel="0" collapsed="false">
      <c r="A61" s="4" t="s">
        <v>340</v>
      </c>
      <c r="B61" s="4" t="s">
        <v>341</v>
      </c>
      <c r="C61" s="4" t="s">
        <v>296</v>
      </c>
      <c r="D61" s="4" t="s">
        <v>149</v>
      </c>
      <c r="E61" s="4" t="s">
        <v>72</v>
      </c>
      <c r="F61" s="7" t="n">
        <v>5</v>
      </c>
      <c r="G61" s="4" t="s">
        <v>334</v>
      </c>
      <c r="H61" s="4"/>
      <c r="I61" s="4" t="s">
        <v>335</v>
      </c>
      <c r="J61" s="4"/>
      <c r="K61" s="4" t="s">
        <v>116</v>
      </c>
      <c r="L61" s="4"/>
      <c r="M61" s="4" t="n">
        <v>55</v>
      </c>
      <c r="N61" s="4" t="n">
        <v>3.6</v>
      </c>
      <c r="O61" s="4"/>
      <c r="P61" s="4"/>
      <c r="Q61" s="4" t="s">
        <v>342</v>
      </c>
      <c r="R61" s="4"/>
      <c r="S61" s="4" t="s">
        <v>343</v>
      </c>
      <c r="T61" s="4"/>
    </row>
    <row r="62" customFormat="false" ht="15" hidden="false" customHeight="false" outlineLevel="0" collapsed="false">
      <c r="A62" s="4" t="s">
        <v>344</v>
      </c>
      <c r="B62" s="4" t="s">
        <v>345</v>
      </c>
      <c r="C62" s="4" t="s">
        <v>296</v>
      </c>
      <c r="D62" s="4" t="s">
        <v>203</v>
      </c>
      <c r="E62" s="4" t="s">
        <v>72</v>
      </c>
      <c r="F62" s="7" t="n">
        <v>8</v>
      </c>
      <c r="G62" s="4" t="s">
        <v>204</v>
      </c>
      <c r="H62" s="4"/>
      <c r="I62" s="4" t="s">
        <v>346</v>
      </c>
      <c r="J62" s="4"/>
      <c r="K62" s="4" t="s">
        <v>116</v>
      </c>
      <c r="L62" s="4"/>
      <c r="M62" s="4" t="n">
        <v>60</v>
      </c>
      <c r="N62" s="4" t="n">
        <v>4.2</v>
      </c>
      <c r="O62" s="4"/>
      <c r="P62" s="4" t="n">
        <v>1</v>
      </c>
      <c r="Q62" s="4"/>
      <c r="R62" s="4"/>
      <c r="S62" s="4" t="s">
        <v>347</v>
      </c>
      <c r="T62" s="4"/>
    </row>
    <row r="63" customFormat="false" ht="15" hidden="false" customHeight="false" outlineLevel="0" collapsed="false">
      <c r="A63" s="4" t="s">
        <v>348</v>
      </c>
      <c r="B63" s="4" t="s">
        <v>349</v>
      </c>
      <c r="C63" s="4" t="s">
        <v>296</v>
      </c>
      <c r="D63" s="4" t="s">
        <v>149</v>
      </c>
      <c r="E63" s="4" t="s">
        <v>72</v>
      </c>
      <c r="F63" s="7" t="n">
        <v>7</v>
      </c>
      <c r="G63" s="4" t="s">
        <v>183</v>
      </c>
      <c r="H63" s="4"/>
      <c r="I63" s="4" t="s">
        <v>346</v>
      </c>
      <c r="J63" s="4"/>
      <c r="K63" s="4" t="s">
        <v>116</v>
      </c>
      <c r="L63" s="4"/>
      <c r="M63" s="4" t="n">
        <v>50</v>
      </c>
      <c r="N63" s="4" t="n">
        <v>3.2</v>
      </c>
      <c r="O63" s="4"/>
      <c r="P63" s="4"/>
      <c r="Q63" s="4" t="s">
        <v>348</v>
      </c>
      <c r="R63" s="4"/>
      <c r="S63" s="4" t="s">
        <v>350</v>
      </c>
      <c r="T63" s="4"/>
    </row>
    <row r="64" customFormat="false" ht="15" hidden="false" customHeight="false" outlineLevel="0" collapsed="false">
      <c r="A64" s="4" t="s">
        <v>351</v>
      </c>
      <c r="B64" s="4" t="s">
        <v>352</v>
      </c>
      <c r="C64" s="4" t="s">
        <v>296</v>
      </c>
      <c r="D64" s="4" t="s">
        <v>197</v>
      </c>
      <c r="E64" s="4" t="s">
        <v>72</v>
      </c>
      <c r="F64" s="7" t="n">
        <v>6</v>
      </c>
      <c r="G64" s="4" t="s">
        <v>183</v>
      </c>
      <c r="H64" s="4"/>
      <c r="I64" s="4" t="s">
        <v>346</v>
      </c>
      <c r="J64" s="4"/>
      <c r="K64" s="4" t="s">
        <v>116</v>
      </c>
      <c r="L64" s="4"/>
      <c r="M64" s="4" t="n">
        <v>85</v>
      </c>
      <c r="N64" s="4" t="n">
        <v>4.4</v>
      </c>
      <c r="O64" s="4"/>
      <c r="P64" s="4"/>
      <c r="Q64" s="4"/>
      <c r="R64" s="4"/>
      <c r="S64" s="4" t="s">
        <v>353</v>
      </c>
      <c r="T64" s="4"/>
    </row>
    <row r="65" customFormat="false" ht="15" hidden="false" customHeight="false" outlineLevel="0" collapsed="false">
      <c r="A65" s="4" t="s">
        <v>354</v>
      </c>
      <c r="B65" s="4" t="s">
        <v>355</v>
      </c>
      <c r="C65" s="4" t="s">
        <v>296</v>
      </c>
      <c r="D65" s="4" t="s">
        <v>149</v>
      </c>
      <c r="E65" s="4" t="s">
        <v>72</v>
      </c>
      <c r="F65" s="7" t="n">
        <v>8</v>
      </c>
      <c r="G65" s="4" t="s">
        <v>198</v>
      </c>
      <c r="H65" s="4"/>
      <c r="I65" s="4" t="s">
        <v>356</v>
      </c>
      <c r="J65" s="4"/>
      <c r="K65" s="4" t="s">
        <v>116</v>
      </c>
      <c r="L65" s="4"/>
      <c r="M65" s="4" t="n">
        <v>60</v>
      </c>
      <c r="N65" s="4" t="n">
        <v>4.2</v>
      </c>
      <c r="O65" s="4"/>
      <c r="P65" s="4"/>
      <c r="Q65" s="4" t="s">
        <v>357</v>
      </c>
      <c r="R65" s="4"/>
      <c r="S65" s="4" t="s">
        <v>358</v>
      </c>
      <c r="T65" s="4"/>
    </row>
    <row r="66" customFormat="false" ht="15" hidden="false" customHeight="false" outlineLevel="0" collapsed="false">
      <c r="A66" s="4" t="s">
        <v>359</v>
      </c>
      <c r="B66" s="4" t="s">
        <v>360</v>
      </c>
      <c r="C66" s="4" t="s">
        <v>296</v>
      </c>
      <c r="D66" s="4" t="s">
        <v>182</v>
      </c>
      <c r="E66" s="4" t="s">
        <v>72</v>
      </c>
      <c r="F66" s="7" t="n">
        <v>7</v>
      </c>
      <c r="G66" s="4" t="s">
        <v>198</v>
      </c>
      <c r="H66" s="4"/>
      <c r="I66" s="4" t="s">
        <v>356</v>
      </c>
      <c r="J66" s="4"/>
      <c r="K66" s="4" t="s">
        <v>116</v>
      </c>
      <c r="L66" s="4"/>
      <c r="M66" s="4" t="n">
        <v>70</v>
      </c>
      <c r="N66" s="4" t="n">
        <v>4.6</v>
      </c>
      <c r="O66" s="4" t="n">
        <v>10</v>
      </c>
      <c r="P66" s="4"/>
      <c r="Q66" s="4"/>
      <c r="R66" s="4"/>
      <c r="S66" s="4" t="s">
        <v>361</v>
      </c>
      <c r="T66" s="4"/>
    </row>
    <row r="67" customFormat="false" ht="15" hidden="false" customHeight="false" outlineLevel="0" collapsed="false">
      <c r="A67" s="4" t="s">
        <v>362</v>
      </c>
      <c r="B67" s="4" t="s">
        <v>363</v>
      </c>
      <c r="C67" s="4" t="s">
        <v>296</v>
      </c>
      <c r="D67" s="4" t="s">
        <v>122</v>
      </c>
      <c r="E67" s="4" t="s">
        <v>72</v>
      </c>
      <c r="F67" s="7" t="n">
        <v>6</v>
      </c>
      <c r="G67" s="4" t="s">
        <v>198</v>
      </c>
      <c r="H67" s="4"/>
      <c r="I67" s="4" t="s">
        <v>356</v>
      </c>
      <c r="J67" s="4"/>
      <c r="K67" s="4" t="s">
        <v>116</v>
      </c>
      <c r="L67" s="4"/>
      <c r="M67" s="4" t="n">
        <v>50</v>
      </c>
      <c r="N67" s="4" t="n">
        <v>3</v>
      </c>
      <c r="O67" s="4"/>
      <c r="P67" s="4"/>
      <c r="Q67" s="4"/>
      <c r="R67" s="4"/>
      <c r="S67" s="4" t="s">
        <v>364</v>
      </c>
      <c r="T67" s="4"/>
    </row>
    <row r="68" customFormat="false" ht="15" hidden="false" customHeight="false" outlineLevel="0" collapsed="false">
      <c r="A68" s="4" t="s">
        <v>365</v>
      </c>
      <c r="B68" s="4" t="s">
        <v>366</v>
      </c>
      <c r="C68" s="4" t="s">
        <v>296</v>
      </c>
      <c r="D68" s="4" t="s">
        <v>155</v>
      </c>
      <c r="E68" s="4" t="s">
        <v>72</v>
      </c>
      <c r="F68" s="7" t="n">
        <v>9</v>
      </c>
      <c r="G68" s="4" t="s">
        <v>106</v>
      </c>
      <c r="H68" s="4"/>
      <c r="I68" s="4" t="s">
        <v>356</v>
      </c>
      <c r="J68" s="4"/>
      <c r="K68" s="4" t="s">
        <v>116</v>
      </c>
      <c r="L68" s="4" t="n">
        <v>5</v>
      </c>
      <c r="M68" s="4" t="n">
        <v>110</v>
      </c>
      <c r="N68" s="4" t="n">
        <v>0.001</v>
      </c>
      <c r="O68" s="4"/>
      <c r="P68" s="4"/>
      <c r="Q68" s="4" t="s">
        <v>367</v>
      </c>
      <c r="R68" s="4"/>
      <c r="S68" s="4" t="s">
        <v>368</v>
      </c>
      <c r="T68" s="4"/>
    </row>
    <row r="69" customFormat="false" ht="15" hidden="false" customHeight="false" outlineLevel="0" collapsed="false">
      <c r="A69" s="4" t="s">
        <v>369</v>
      </c>
      <c r="B69" s="4" t="s">
        <v>370</v>
      </c>
      <c r="C69" s="4" t="s">
        <v>296</v>
      </c>
      <c r="D69" s="4" t="s">
        <v>155</v>
      </c>
      <c r="E69" s="4" t="s">
        <v>72</v>
      </c>
      <c r="F69" s="7" t="n">
        <v>5</v>
      </c>
      <c r="G69" s="4" t="s">
        <v>106</v>
      </c>
      <c r="H69" s="4"/>
      <c r="I69" s="4" t="s">
        <v>311</v>
      </c>
      <c r="J69" s="4"/>
      <c r="K69" s="4" t="s">
        <v>116</v>
      </c>
      <c r="L69" s="4" t="n">
        <v>4</v>
      </c>
      <c r="M69" s="4" t="n">
        <v>90</v>
      </c>
      <c r="N69" s="4" t="n">
        <v>0.001</v>
      </c>
      <c r="O69" s="4"/>
      <c r="P69" s="4"/>
      <c r="Q69" s="4" t="s">
        <v>367</v>
      </c>
      <c r="R69" s="4"/>
      <c r="S69" s="4" t="s">
        <v>371</v>
      </c>
      <c r="T69" s="4"/>
    </row>
    <row r="70" customFormat="false" ht="15" hidden="false" customHeight="false" outlineLevel="0" collapsed="false">
      <c r="A70" s="4" t="s">
        <v>372</v>
      </c>
      <c r="B70" s="4" t="s">
        <v>373</v>
      </c>
      <c r="C70" s="4" t="s">
        <v>296</v>
      </c>
      <c r="D70" s="4" t="s">
        <v>155</v>
      </c>
      <c r="E70" s="4" t="s">
        <v>72</v>
      </c>
      <c r="F70" s="7" t="n">
        <v>6</v>
      </c>
      <c r="G70" s="4" t="s">
        <v>106</v>
      </c>
      <c r="H70" s="4"/>
      <c r="I70" s="4" t="s">
        <v>346</v>
      </c>
      <c r="J70" s="4"/>
      <c r="K70" s="4" t="s">
        <v>116</v>
      </c>
      <c r="L70" s="4" t="n">
        <v>3</v>
      </c>
      <c r="M70" s="4" t="n">
        <v>90</v>
      </c>
      <c r="N70" s="4" t="n">
        <v>0.001</v>
      </c>
      <c r="O70" s="4"/>
      <c r="P70" s="4"/>
      <c r="Q70" s="4"/>
      <c r="R70" s="4"/>
      <c r="S70" s="4" t="s">
        <v>374</v>
      </c>
      <c r="T7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8" min="5" style="0" width="1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375</v>
      </c>
    </row>
    <row r="2" customFormat="false" ht="15" hidden="false" customHeight="false" outlineLevel="0" collapsed="false">
      <c r="A2" s="2" t="s">
        <v>376</v>
      </c>
    </row>
    <row r="4" customFormat="false" ht="31.5" hidden="false" customHeight="true" outlineLevel="0" collapsed="false">
      <c r="A4" s="5" t="s">
        <v>377</v>
      </c>
      <c r="B4" s="5" t="s">
        <v>378</v>
      </c>
      <c r="C4" s="5" t="s">
        <v>379</v>
      </c>
      <c r="D4" s="5" t="s">
        <v>380</v>
      </c>
      <c r="E4" s="5" t="s">
        <v>381</v>
      </c>
      <c r="F4" s="5" t="s">
        <v>382</v>
      </c>
      <c r="G4" s="5" t="s">
        <v>383</v>
      </c>
      <c r="H4" s="5" t="s">
        <v>384</v>
      </c>
      <c r="I4" s="5" t="s">
        <v>385</v>
      </c>
    </row>
    <row r="5" customFormat="false" ht="15" hidden="false" customHeight="false" outlineLevel="0" collapsed="false">
      <c r="A5" s="4" t="s">
        <v>298</v>
      </c>
      <c r="B5" s="4" t="s">
        <v>386</v>
      </c>
      <c r="C5" s="7" t="n">
        <v>2</v>
      </c>
      <c r="D5" s="4" t="s">
        <v>387</v>
      </c>
      <c r="E5" s="6" t="n">
        <v>0.35</v>
      </c>
      <c r="F5" s="6" t="n">
        <v>0.15</v>
      </c>
      <c r="G5" s="6" t="n">
        <v>0.15</v>
      </c>
      <c r="H5" s="6" t="n">
        <v>0.1</v>
      </c>
      <c r="I5" s="4" t="s">
        <v>388</v>
      </c>
    </row>
    <row r="6" customFormat="false" ht="15" hidden="false" customHeight="false" outlineLevel="0" collapsed="false">
      <c r="A6" s="4" t="s">
        <v>311</v>
      </c>
      <c r="B6" s="4" t="s">
        <v>389</v>
      </c>
      <c r="C6" s="7" t="n">
        <v>3</v>
      </c>
      <c r="D6" s="4" t="s">
        <v>390</v>
      </c>
      <c r="E6" s="6" t="n">
        <v>0.3</v>
      </c>
      <c r="F6" s="6" t="n">
        <v>0.15</v>
      </c>
      <c r="G6" s="6" t="n">
        <v>0</v>
      </c>
      <c r="H6" s="6" t="n">
        <v>0</v>
      </c>
      <c r="I6" s="4" t="s">
        <v>391</v>
      </c>
    </row>
    <row r="7" customFormat="false" ht="15" hidden="false" customHeight="false" outlineLevel="0" collapsed="false">
      <c r="A7" s="4" t="s">
        <v>324</v>
      </c>
      <c r="B7" s="4" t="s">
        <v>392</v>
      </c>
      <c r="C7" s="7" t="n">
        <v>2</v>
      </c>
      <c r="D7" s="4" t="s">
        <v>387</v>
      </c>
      <c r="E7" s="6" t="n">
        <v>0.1</v>
      </c>
      <c r="F7" s="6" t="n">
        <v>0.2</v>
      </c>
      <c r="G7" s="6" t="n">
        <v>0</v>
      </c>
      <c r="H7" s="6" t="n">
        <v>0</v>
      </c>
      <c r="I7" s="4" t="s">
        <v>393</v>
      </c>
    </row>
    <row r="8" customFormat="false" ht="15" hidden="false" customHeight="false" outlineLevel="0" collapsed="false">
      <c r="A8" s="4" t="s">
        <v>335</v>
      </c>
      <c r="B8" s="4" t="s">
        <v>394</v>
      </c>
      <c r="C8" s="7" t="n">
        <v>3</v>
      </c>
      <c r="D8" s="4" t="s">
        <v>387</v>
      </c>
      <c r="E8" s="6" t="n">
        <v>0</v>
      </c>
      <c r="F8" s="6" t="n">
        <v>0.15</v>
      </c>
      <c r="G8" s="6" t="n">
        <v>0.25</v>
      </c>
      <c r="H8" s="6" t="n">
        <v>0</v>
      </c>
      <c r="I8" s="4" t="s">
        <v>395</v>
      </c>
    </row>
    <row r="9" customFormat="false" ht="15" hidden="false" customHeight="false" outlineLevel="0" collapsed="false">
      <c r="A9" s="4" t="s">
        <v>346</v>
      </c>
      <c r="B9" s="4" t="s">
        <v>396</v>
      </c>
      <c r="C9" s="7" t="n">
        <v>4</v>
      </c>
      <c r="D9" s="4" t="s">
        <v>387</v>
      </c>
      <c r="E9" s="6" t="n">
        <v>0</v>
      </c>
      <c r="F9" s="6" t="n">
        <v>0.1</v>
      </c>
      <c r="G9" s="6" t="n">
        <v>0</v>
      </c>
      <c r="H9" s="6" t="n">
        <v>0.25</v>
      </c>
      <c r="I9" s="4" t="s">
        <v>397</v>
      </c>
    </row>
    <row r="10" customFormat="false" ht="15" hidden="false" customHeight="false" outlineLevel="0" collapsed="false">
      <c r="A10" s="4" t="s">
        <v>356</v>
      </c>
      <c r="B10" s="4" t="s">
        <v>398</v>
      </c>
      <c r="C10" s="7" t="n">
        <v>5</v>
      </c>
      <c r="D10" s="4" t="s">
        <v>387</v>
      </c>
      <c r="E10" s="6" t="n">
        <v>0.05</v>
      </c>
      <c r="F10" s="6" t="n">
        <v>0.1</v>
      </c>
      <c r="G10" s="6" t="n">
        <v>0.15</v>
      </c>
      <c r="H10" s="6" t="n">
        <v>0</v>
      </c>
      <c r="I10" s="4" t="s">
        <v>399</v>
      </c>
    </row>
    <row r="12" customFormat="false" ht="15" hidden="false" customHeight="false" outlineLevel="0" collapsed="false">
      <c r="A12" s="3" t="s">
        <v>400</v>
      </c>
      <c r="E12" s="11" t="n">
        <f aca="false">SUM(E5:E10)</f>
        <v>0.8</v>
      </c>
      <c r="F12" s="11" t="n">
        <f aca="false">SUM(F5:F10)</f>
        <v>0.85</v>
      </c>
      <c r="G12" s="11" t="n">
        <f aca="false">SUM(G5:G10)</f>
        <v>0.55</v>
      </c>
      <c r="H12" s="11" t="n">
        <f aca="false">SUM(H5:H10)</f>
        <v>0.35</v>
      </c>
    </row>
    <row r="13" customFormat="false" ht="15" hidden="false" customHeight="false" outlineLevel="0" collapsed="false">
      <c r="A13" s="3" t="s">
        <v>401</v>
      </c>
      <c r="E13" s="12" t="n">
        <f aca="false">IF(E12=0,"-",9/E12)</f>
        <v>11.25</v>
      </c>
      <c r="F13" s="12" t="n">
        <f aca="false">IF(F12=0,"-",9/F12)</f>
        <v>10.5882352941176</v>
      </c>
      <c r="G13" s="12" t="n">
        <f aca="false">IF(G12=0,"-",9/G12)</f>
        <v>16.3636363636364</v>
      </c>
      <c r="H13" s="12" t="n">
        <f aca="false">IF(H12=0,"-",9/H12)</f>
        <v>25.7142857142857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16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402</v>
      </c>
    </row>
    <row r="4" customFormat="false" ht="17.35" hidden="false" customHeight="false" outlineLevel="0" collapsed="false">
      <c r="A4" s="1" t="s">
        <v>298</v>
      </c>
      <c r="C4" s="3" t="s">
        <v>403</v>
      </c>
      <c r="D4" s="7" t="n">
        <v>2</v>
      </c>
      <c r="E4" s="3" t="s">
        <v>404</v>
      </c>
      <c r="F4" s="7" t="n">
        <v>3</v>
      </c>
      <c r="G4" s="2" t="s">
        <v>405</v>
      </c>
    </row>
    <row r="5" customFormat="false" ht="31.5" hidden="false" customHeight="true" outlineLevel="0" collapsed="false">
      <c r="A5" s="5" t="s">
        <v>83</v>
      </c>
      <c r="B5" s="5" t="s">
        <v>84</v>
      </c>
      <c r="C5" s="5" t="s">
        <v>406</v>
      </c>
      <c r="D5" s="5" t="s">
        <v>407</v>
      </c>
      <c r="E5" s="5" t="s">
        <v>408</v>
      </c>
      <c r="F5" s="5" t="s">
        <v>409</v>
      </c>
      <c r="G5" s="5" t="s">
        <v>410</v>
      </c>
      <c r="H5" s="5" t="s">
        <v>411</v>
      </c>
      <c r="I5" s="5" t="s">
        <v>412</v>
      </c>
      <c r="J5" s="5" t="s">
        <v>21</v>
      </c>
      <c r="K5" s="5" t="s">
        <v>98</v>
      </c>
      <c r="L5" s="5" t="s">
        <v>413</v>
      </c>
    </row>
    <row r="6" customFormat="false" ht="15" hidden="false" customHeight="false" outlineLevel="0" collapsed="false">
      <c r="A6" s="4" t="s">
        <v>294</v>
      </c>
      <c r="B6" s="4" t="s">
        <v>295</v>
      </c>
      <c r="C6" s="4" t="n">
        <f aca="false">Encounters!F49</f>
        <v>10</v>
      </c>
      <c r="D6" s="13" t="n">
        <f aca="false">$C$6/SUM($C$6:$C$8)</f>
        <v>0.4</v>
      </c>
      <c r="E6" s="13" t="n">
        <f aca="false">($C$7/SUM($C$6:$C$8))*($C$6/(SUM($C$6:$C$8)-$C$7))+($C$8/SUM($C$6:$C$8))*($C$6/(SUM($C$6:$C$8)-$C$8))</f>
        <v>0.343790849673203</v>
      </c>
      <c r="F6" s="13" t="n">
        <f aca="false">($C$7/SUM($C$6:$C$8))*($C$8/(SUM($C$6:$C$8)-$C$7))*($C$6/(SUM($C$6:$C$8)-$C$7-$C$8))+($C$8/SUM($C$6:$C$8))*($C$7/(SUM($C$6:$C$8)-$C$8))*($C$6/(SUM($C$6:$C$8)-$C$8-$C$7))</f>
        <v>0.256209150326797</v>
      </c>
      <c r="G6" s="13" t="n">
        <f aca="false">0</f>
        <v>0</v>
      </c>
      <c r="H6" s="11" t="n">
        <f aca="false">MIN(1,(IF(AND(0&gt;=$D$4,0&lt;=$F$4),0,0)+IF(AND(1&gt;=$D$4,1&lt;=$F$4),D6,0)+IF(AND(2&gt;=$D$4,2&lt;=$F$4),D6+E6,0)+IF(AND(3&gt;=$D$4,3&lt;=$F$4),D6+E6+F6,0)+IF(AND(4&gt;=$D$4,4&lt;=$F$4),D6+E6+F6+G6,0)+IF(AND(5&gt;=$D$4,5&lt;=$F$4),D6+E6+F6+G6,0)+IF(AND(6&gt;=$D$4,6&lt;=$F$4),D6+E6+F6+G6,0)+IF(AND(7&gt;=$D$4,7&lt;=$F$4),D6+E6+F6+G6,0)+IF(AND(8&gt;=$D$4,8&lt;=$F$4),D6+E6+F6+G6,0))/($F$4-$D$4+1))</f>
        <v>0.871895424836601</v>
      </c>
      <c r="I6" s="4" t="s">
        <v>297</v>
      </c>
      <c r="J6" s="4" t="s">
        <v>414</v>
      </c>
      <c r="K6" s="4" t="s">
        <v>299</v>
      </c>
      <c r="L6" s="4" t="s">
        <v>415</v>
      </c>
    </row>
    <row r="7" customFormat="false" ht="15" hidden="false" customHeight="false" outlineLevel="0" collapsed="false">
      <c r="A7" s="4" t="s">
        <v>302</v>
      </c>
      <c r="B7" s="4" t="s">
        <v>303</v>
      </c>
      <c r="C7" s="4" t="n">
        <f aca="false">Encounters!F50</f>
        <v>8</v>
      </c>
      <c r="D7" s="13" t="n">
        <f aca="false">$C$7/SUM($C$6:$C$8)</f>
        <v>0.32</v>
      </c>
      <c r="E7" s="13" t="n">
        <f aca="false">($C$6/SUM($C$6:$C$8))*($C$7/(SUM($C$6:$C$8)-$C$6))+($C$8/SUM($C$6:$C$8))*($C$7/(SUM($C$6:$C$8)-$C$8))</f>
        <v>0.337777777777778</v>
      </c>
      <c r="F7" s="13" t="n">
        <f aca="false">($C$6/SUM($C$6:$C$8))*($C$8/(SUM($C$6:$C$8)-$C$6))*($C$7/(SUM($C$6:$C$8)-$C$6-$C$8))+($C$8/SUM($C$6:$C$8))*($C$6/(SUM($C$6:$C$8)-$C$8))*($C$7/(SUM($C$6:$C$8)-$C$8-$C$6))</f>
        <v>0.342222222222222</v>
      </c>
      <c r="G7" s="13" t="n">
        <f aca="false">0</f>
        <v>0</v>
      </c>
      <c r="H7" s="11" t="n">
        <f aca="false">MIN(1,(IF(AND(0&gt;=$D$4,0&lt;=$F$4),0,0)+IF(AND(1&gt;=$D$4,1&lt;=$F$4),D7,0)+IF(AND(2&gt;=$D$4,2&lt;=$F$4),D7+E7,0)+IF(AND(3&gt;=$D$4,3&lt;=$F$4),D7+E7+F7,0)+IF(AND(4&gt;=$D$4,4&lt;=$F$4),D7+E7+F7+G7,0)+IF(AND(5&gt;=$D$4,5&lt;=$F$4),D7+E7+F7+G7,0)+IF(AND(6&gt;=$D$4,6&lt;=$F$4),D7+E7+F7+G7,0)+IF(AND(7&gt;=$D$4,7&lt;=$F$4),D7+E7+F7+G7,0)+IF(AND(8&gt;=$D$4,8&lt;=$F$4),D7+E7+F7+G7,0))/($F$4-$D$4+1))</f>
        <v>0.828888888888889</v>
      </c>
      <c r="I7" s="4" t="s">
        <v>297</v>
      </c>
      <c r="J7" s="4" t="s">
        <v>416</v>
      </c>
      <c r="K7" s="4"/>
      <c r="L7" s="4" t="s">
        <v>417</v>
      </c>
    </row>
    <row r="8" customFormat="false" ht="15" hidden="false" customHeight="false" outlineLevel="0" collapsed="false">
      <c r="A8" s="4" t="s">
        <v>306</v>
      </c>
      <c r="B8" s="4" t="s">
        <v>307</v>
      </c>
      <c r="C8" s="4" t="n">
        <f aca="false">Encounters!F51</f>
        <v>7</v>
      </c>
      <c r="D8" s="13" t="n">
        <f aca="false">$C$8/SUM($C$6:$C$8)</f>
        <v>0.28</v>
      </c>
      <c r="E8" s="13" t="n">
        <f aca="false">($C$6/SUM($C$6:$C$8))*($C$8/(SUM($C$6:$C$8)-$C$6))+($C$7/SUM($C$6:$C$8))*($C$8/(SUM($C$6:$C$8)-$C$7))</f>
        <v>0.31843137254902</v>
      </c>
      <c r="F8" s="13" t="n">
        <f aca="false">($C$6/SUM($C$6:$C$8))*($C$7/(SUM($C$6:$C$8)-$C$6))*($C$8/(SUM($C$6:$C$8)-$C$6-$C$7))+($C$7/SUM($C$6:$C$8))*($C$6/(SUM($C$6:$C$8)-$C$7))*($C$8/(SUM($C$6:$C$8)-$C$7-$C$6))</f>
        <v>0.40156862745098</v>
      </c>
      <c r="G8" s="13" t="n">
        <f aca="false">0</f>
        <v>0</v>
      </c>
      <c r="H8" s="11" t="n">
        <f aca="false">MIN(1,(IF(AND(0&gt;=$D$4,0&lt;=$F$4),0,0)+IF(AND(1&gt;=$D$4,1&lt;=$F$4),D8,0)+IF(AND(2&gt;=$D$4,2&lt;=$F$4),D8+E8,0)+IF(AND(3&gt;=$D$4,3&lt;=$F$4),D8+E8+F8,0)+IF(AND(4&gt;=$D$4,4&lt;=$F$4),D8+E8+F8+G8,0)+IF(AND(5&gt;=$D$4,5&lt;=$F$4),D8+E8+F8+G8,0)+IF(AND(6&gt;=$D$4,6&lt;=$F$4),D8+E8+F8+G8,0)+IF(AND(7&gt;=$D$4,7&lt;=$F$4),D8+E8+F8+G8,0)+IF(AND(8&gt;=$D$4,8&lt;=$F$4),D8+E8+F8+G8,0))/($F$4-$D$4+1))</f>
        <v>0.79921568627451</v>
      </c>
      <c r="I8" s="4" t="s">
        <v>297</v>
      </c>
      <c r="J8" s="4" t="s">
        <v>418</v>
      </c>
      <c r="K8" s="4"/>
      <c r="L8" s="4" t="s">
        <v>419</v>
      </c>
    </row>
    <row r="9" customFormat="false" ht="15" hidden="false" customHeight="false" outlineLevel="0" collapsed="false">
      <c r="B9" s="2" t="s">
        <v>420</v>
      </c>
      <c r="H9" s="14" t="n">
        <f aca="false">SUM(H6:H8)</f>
        <v>2.5</v>
      </c>
    </row>
    <row r="11" customFormat="false" ht="17.35" hidden="false" customHeight="false" outlineLevel="0" collapsed="false">
      <c r="A11" s="1" t="s">
        <v>311</v>
      </c>
      <c r="C11" s="3" t="s">
        <v>403</v>
      </c>
      <c r="D11" s="7" t="n">
        <v>2</v>
      </c>
      <c r="E11" s="3" t="s">
        <v>404</v>
      </c>
      <c r="F11" s="7" t="n">
        <v>4</v>
      </c>
      <c r="G11" s="2" t="s">
        <v>421</v>
      </c>
    </row>
    <row r="12" customFormat="false" ht="31.5" hidden="false" customHeight="true" outlineLevel="0" collapsed="false">
      <c r="A12" s="5" t="s">
        <v>83</v>
      </c>
      <c r="B12" s="5" t="s">
        <v>84</v>
      </c>
      <c r="C12" s="5" t="s">
        <v>406</v>
      </c>
      <c r="D12" s="5" t="s">
        <v>407</v>
      </c>
      <c r="E12" s="5" t="s">
        <v>408</v>
      </c>
      <c r="F12" s="5" t="s">
        <v>409</v>
      </c>
      <c r="G12" s="5" t="s">
        <v>410</v>
      </c>
      <c r="H12" s="5" t="s">
        <v>411</v>
      </c>
      <c r="I12" s="5" t="s">
        <v>412</v>
      </c>
      <c r="J12" s="5" t="s">
        <v>21</v>
      </c>
      <c r="K12" s="5" t="s">
        <v>98</v>
      </c>
      <c r="L12" s="5" t="s">
        <v>413</v>
      </c>
    </row>
    <row r="13" customFormat="false" ht="15" hidden="false" customHeight="false" outlineLevel="0" collapsed="false">
      <c r="A13" s="4" t="s">
        <v>309</v>
      </c>
      <c r="B13" s="4" t="s">
        <v>310</v>
      </c>
      <c r="C13" s="4" t="n">
        <f aca="false">Encounters!F52</f>
        <v>10</v>
      </c>
      <c r="D13" s="13" t="n">
        <f aca="false">$C$13/SUM($C$13:$C$17)</f>
        <v>0.3125</v>
      </c>
      <c r="E13" s="13" t="n">
        <f aca="false">($C$14/SUM($C$13:$C$17))*($C$13/(SUM($C$13:$C$17)-$C$14))+($C$15/SUM($C$13:$C$17))*($C$13/(SUM($C$13:$C$17)-$C$15))+($C$16/SUM($C$13:$C$17))*($C$13/(SUM($C$13:$C$17)-$C$16))+($C$17/SUM($C$13:$C$17))*($C$13/(SUM($C$13:$C$17)-$C$17))</f>
        <v>0.25997150997151</v>
      </c>
      <c r="F13" s="13" t="n">
        <f aca="false">($C$14/SUM($C$13:$C$17))*($C$15/(SUM($C$13:$C$17)-$C$14))*($C$13/(SUM($C$13:$C$17)-$C$14-$C$15))+($C$14/SUM($C$13:$C$17))*($C$16/(SUM($C$13:$C$17)-$C$14))*($C$13/(SUM($C$13:$C$17)-$C$14-$C$16))+($C$14/SUM($C$13:$C$17))*($C$17/(SUM($C$13:$C$17)-$C$14))*($C$13/(SUM($C$13:$C$17)-$C$14-$C$17))+($C$15/SUM($C$13:$C$17))*($C$14/(SUM($C$13:$C$17)-$C$15))*($C$13/(SUM($C$13:$C$17)-$C$15-$C$14))+($C$15/SUM($C$13:$C$17))*($C$16/(SUM($C$13:$C$17)-$C$15))*($C$13/(SUM($C$13:$C$17)-$C$15-$C$16))+($C$15/SUM($C$13:$C$17))*($C$17/(SUM($C$13:$C$17)-$C$15))*($C$13/(SUM($C$13:$C$17)-$C$15-$C$17))+($C$16/SUM($C$13:$C$17))*($C$14/(SUM($C$13:$C$17)-$C$16))*($C$13/(SUM($C$13:$C$17)-$C$16-$C$14))+($C$16/SUM($C$13:$C$17))*($C$15/(SUM($C$13:$C$17)-$C$16))*($C$13/(SUM($C$13:$C$17)-$C$16-$C$15))+($C$16/SUM($C$13:$C$17))*($C$17/(SUM($C$13:$C$17)-$C$16))*($C$13/(SUM($C$13:$C$17)-$C$16-$C$17))+($C$17/SUM($C$13:$C$17))*($C$14/(SUM($C$13:$C$17)-$C$17))*($C$13/(SUM($C$13:$C$17)-$C$17-$C$14))+($C$17/SUM($C$13:$C$17))*($C$15/(SUM($C$13:$C$17)-$C$17))*($C$13/(SUM($C$13:$C$17)-$C$17-$C$15))+($C$17/SUM($C$13:$C$17))*($C$16/(SUM($C$13:$C$17)-$C$17))*($C$13/(SUM($C$13:$C$17)-$C$17-$C$16))</f>
        <v>0.204392829392829</v>
      </c>
      <c r="G13" s="13" t="n">
        <f aca="false">($C$14/SUM($C$13:$C$17))*($C$15/(SUM($C$13:$C$17)-$C$14))*($C$16/(SUM($C$13:$C$17)-$C$14-$C$15))*($C$13/(SUM($C$13:$C$17)-$C$14-$C$15-$C$16))+($C$14/SUM($C$13:$C$17))*($C$15/(SUM($C$13:$C$17)-$C$14))*($C$17/(SUM($C$13:$C$17)-$C$14-$C$15))*($C$13/(SUM($C$13:$C$17)-$C$14-$C$15-$C$17))+($C$14/SUM($C$13:$C$17))*($C$16/(SUM($C$13:$C$17)-$C$14))*($C$15/(SUM($C$13:$C$17)-$C$14-$C$16))*($C$13/(SUM($C$13:$C$17)-$C$14-$C$16-$C$15))+($C$14/SUM($C$13:$C$17))*($C$16/(SUM($C$13:$C$17)-$C$14))*($C$17/(SUM($C$13:$C$17)-$C$14-$C$16))*($C$13/(SUM($C$13:$C$17)-$C$14-$C$16-$C$17))+($C$14/SUM($C$13:$C$17))*($C$17/(SUM($C$13:$C$17)-$C$14))*($C$15/(SUM($C$13:$C$17)-$C$14-$C$17))*($C$13/(SUM($C$13:$C$17)-$C$14-$C$17-$C$15))+($C$14/SUM($C$13:$C$17))*($C$17/(SUM($C$13:$C$17)-$C$14))*($C$16/(SUM($C$13:$C$17)-$C$14-$C$17))*($C$13/(SUM($C$13:$C$17)-$C$14-$C$17-$C$16))+($C$15/SUM($C$13:$C$17))*($C$14/(SUM($C$13:$C$17)-$C$15))*($C$16/(SUM($C$13:$C$17)-$C$15-$C$14))*($C$13/(SUM($C$13:$C$17)-$C$15-$C$14-$C$16))+($C$15/SUM($C$13:$C$17))*($C$14/(SUM($C$13:$C$17)-$C$15))*($C$17/(SUM($C$13:$C$17)-$C$15-$C$14))*($C$13/(SUM($C$13:$C$17)-$C$15-$C$14-$C$17))+($C$15/SUM($C$13:$C$17))*($C$16/(SUM($C$13:$C$17)-$C$15))*($C$14/(SUM($C$13:$C$17)-$C$15-$C$16))*($C$13/(SUM($C$13:$C$17)-$C$15-$C$16-$C$14))+($C$15/SUM($C$13:$C$17))*($C$16/(SUM($C$13:$C$17)-$C$15))*($C$17/(SUM($C$13:$C$17)-$C$15-$C$16))*($C$13/(SUM($C$13:$C$17)-$C$15-$C$16-$C$17))+($C$15/SUM($C$13:$C$17))*($C$17/(SUM($C$13:$C$17)-$C$15))*($C$14/(SUM($C$13:$C$17)-$C$15-$C$17))*($C$13/(SUM($C$13:$C$17)-$C$15-$C$17-$C$14))+($C$15/SUM($C$13:$C$17))*($C$17/(SUM($C$13:$C$17)-$C$15))*($C$16/(SUM($C$13:$C$17)-$C$15-$C$17))*($C$13/(SUM($C$13:$C$17)-$C$15-$C$17-$C$16))+($C$16/SUM($C$13:$C$17))*($C$14/(SUM($C$13:$C$17)-$C$16))*($C$15/(SUM($C$13:$C$17)-$C$16-$C$14))*($C$13/(SUM($C$13:$C$17)-$C$16-$C$14-$C$15))+($C$16/SUM($C$13:$C$17))*($C$14/(SUM($C$13:$C$17)-$C$16))*($C$17/(SUM($C$13:$C$17)-$C$16-$C$14))*($C$13/(SUM($C$13:$C$17)-$C$16-$C$14-$C$17))+($C$16/SUM($C$13:$C$17))*($C$15/(SUM($C$13:$C$17)-$C$16))*($C$14/(SUM($C$13:$C$17)-$C$16-$C$15))*($C$13/(SUM($C$13:$C$17)-$C$16-$C$15-$C$14))+($C$16/SUM($C$13:$C$17))*($C$15/(SUM($C$13:$C$17)-$C$16))*($C$17/(SUM($C$13:$C$17)-$C$16-$C$15))*($C$13/(SUM($C$13:$C$17)-$C$16-$C$15-$C$17))+($C$16/SUM($C$13:$C$17))*($C$17/(SUM($C$13:$C$17)-$C$16))*($C$14/(SUM($C$13:$C$17)-$C$16-$C$17))*($C$13/(SUM($C$13:$C$17)-$C$16-$C$17-$C$14))+($C$16/SUM($C$13:$C$17))*($C$17/(SUM($C$13:$C$17)-$C$16))*($C$15/(SUM($C$13:$C$17)-$C$16-$C$17))*($C$13/(SUM($C$13:$C$17)-$C$16-$C$17-$C$15))+($C$17/SUM($C$13:$C$17))*($C$14/(SUM($C$13:$C$17)-$C$17))*($C$15/(SUM($C$13:$C$17)-$C$17-$C$14))*($C$13/(SUM($C$13:$C$17)-$C$17-$C$14-$C$15))+($C$17/SUM($C$13:$C$17))*($C$14/(SUM($C$13:$C$17)-$C$17))*($C$16/(SUM($C$13:$C$17)-$C$17-$C$14))*($C$13/(SUM($C$13:$C$17)-$C$17-$C$14-$C$16))+($C$17/SUM($C$13:$C$17))*($C$15/(SUM($C$13:$C$17)-$C$17))*($C$14/(SUM($C$13:$C$17)-$C$17-$C$15))*($C$13/(SUM($C$13:$C$17)-$C$17-$C$15-$C$14))+($C$17/SUM($C$13:$C$17))*($C$15/(SUM($C$13:$C$17)-$C$17))*($C$16/(SUM($C$13:$C$17)-$C$17-$C$15))*($C$13/(SUM($C$13:$C$17)-$C$17-$C$15-$C$16))+($C$17/SUM($C$13:$C$17))*($C$16/(SUM($C$13:$C$17)-$C$17))*($C$14/(SUM($C$13:$C$17)-$C$17-$C$16))*($C$13/(SUM($C$13:$C$17)-$C$17-$C$16-$C$14))+($C$17/SUM($C$13:$C$17))*($C$16/(SUM($C$13:$C$17)-$C$17))*($C$15/(SUM($C$13:$C$17)-$C$17-$C$16))*($C$13/(SUM($C$13:$C$17)-$C$17-$C$16-$C$15))</f>
        <v>0.144633144633145</v>
      </c>
      <c r="H13" s="11" t="n">
        <f aca="false">MIN(1,(IF(AND(0&gt;=$D$11,0&lt;=$F$11),0,0)+IF(AND(1&gt;=$D$11,1&lt;=$F$11),D13,0)+IF(AND(2&gt;=$D$11,2&lt;=$F$11),D13+E13,0)+IF(AND(3&gt;=$D$11,3&lt;=$F$11),D13+E13+F13,0)+IF(AND(4&gt;=$D$11,4&lt;=$F$11),D13+E13+F13+G13,0)+IF(AND(5&gt;=$D$11,5&lt;=$F$11),D13+E13+F13+G13,0)+IF(AND(6&gt;=$D$11,6&lt;=$F$11),D13+E13+F13+G13,0)+IF(AND(7&gt;=$D$11,7&lt;=$F$11),D13+E13+F13+G13,0)+IF(AND(8&gt;=$D$11,8&lt;=$F$11),D13+E13+F13+G13,0))/($F$11-$D$11+1))</f>
        <v>0.756944444444444</v>
      </c>
      <c r="I13" s="4" t="s">
        <v>198</v>
      </c>
      <c r="J13" s="4" t="s">
        <v>422</v>
      </c>
      <c r="K13" s="4" t="s">
        <v>299</v>
      </c>
      <c r="L13" s="4" t="s">
        <v>423</v>
      </c>
    </row>
    <row r="14" customFormat="false" ht="15" hidden="false" customHeight="false" outlineLevel="0" collapsed="false">
      <c r="A14" s="4" t="s">
        <v>313</v>
      </c>
      <c r="B14" s="4" t="s">
        <v>314</v>
      </c>
      <c r="C14" s="4" t="n">
        <f aca="false">Encounters!F53</f>
        <v>6</v>
      </c>
      <c r="D14" s="13" t="n">
        <f aca="false">$C$14/SUM($C$13:$C$17)</f>
        <v>0.1875</v>
      </c>
      <c r="E14" s="13" t="n">
        <f aca="false">($C$13/SUM($C$13:$C$17))*($C$14/(SUM($C$13:$C$17)-$C$13))+($C$15/SUM($C$13:$C$17))*($C$14/(SUM($C$13:$C$17)-$C$15))+($C$16/SUM($C$13:$C$17))*($C$14/(SUM($C$13:$C$17)-$C$16))+($C$17/SUM($C$13:$C$17))*($C$14/(SUM($C$13:$C$17)-$C$17))</f>
        <v>0.197940947940948</v>
      </c>
      <c r="F14" s="13" t="n">
        <f aca="false">($C$13/SUM($C$13:$C$17))*($C$15/(SUM($C$13:$C$17)-$C$13))*($C$14/(SUM($C$13:$C$17)-$C$13-$C$15))+($C$13/SUM($C$13:$C$17))*($C$16/(SUM($C$13:$C$17)-$C$13))*($C$14/(SUM($C$13:$C$17)-$C$13-$C$16))+($C$13/SUM($C$13:$C$17))*($C$17/(SUM($C$13:$C$17)-$C$13))*($C$14/(SUM($C$13:$C$17)-$C$13-$C$17))+($C$15/SUM($C$13:$C$17))*($C$13/(SUM($C$13:$C$17)-$C$15))*($C$14/(SUM($C$13:$C$17)-$C$15-$C$13))+($C$15/SUM($C$13:$C$17))*($C$16/(SUM($C$13:$C$17)-$C$15))*($C$14/(SUM($C$13:$C$17)-$C$15-$C$16))+($C$15/SUM($C$13:$C$17))*($C$17/(SUM($C$13:$C$17)-$C$15))*($C$14/(SUM($C$13:$C$17)-$C$15-$C$17))+($C$16/SUM($C$13:$C$17))*($C$13/(SUM($C$13:$C$17)-$C$16))*($C$14/(SUM($C$13:$C$17)-$C$16-$C$13))+($C$16/SUM($C$13:$C$17))*($C$15/(SUM($C$13:$C$17)-$C$16))*($C$14/(SUM($C$13:$C$17)-$C$16-$C$15))+($C$16/SUM($C$13:$C$17))*($C$17/(SUM($C$13:$C$17)-$C$16))*($C$14/(SUM($C$13:$C$17)-$C$16-$C$17))+($C$17/SUM($C$13:$C$17))*($C$13/(SUM($C$13:$C$17)-$C$17))*($C$14/(SUM($C$13:$C$17)-$C$17-$C$13))+($C$17/SUM($C$13:$C$17))*($C$15/(SUM($C$13:$C$17)-$C$17))*($C$14/(SUM($C$13:$C$17)-$C$17-$C$15))+($C$17/SUM($C$13:$C$17))*($C$16/(SUM($C$13:$C$17)-$C$17))*($C$14/(SUM($C$13:$C$17)-$C$17-$C$16))</f>
        <v>0.206215353274177</v>
      </c>
      <c r="G14" s="13" t="n">
        <f aca="false">($C$13/SUM($C$13:$C$17))*($C$15/(SUM($C$13:$C$17)-$C$13))*($C$16/(SUM($C$13:$C$17)-$C$13-$C$15))*($C$14/(SUM($C$13:$C$17)-$C$13-$C$15-$C$16))+($C$13/SUM($C$13:$C$17))*($C$15/(SUM($C$13:$C$17)-$C$13))*($C$17/(SUM($C$13:$C$17)-$C$13-$C$15))*($C$14/(SUM($C$13:$C$17)-$C$13-$C$15-$C$17))+($C$13/SUM($C$13:$C$17))*($C$16/(SUM($C$13:$C$17)-$C$13))*($C$15/(SUM($C$13:$C$17)-$C$13-$C$16))*($C$14/(SUM($C$13:$C$17)-$C$13-$C$16-$C$15))+($C$13/SUM($C$13:$C$17))*($C$16/(SUM($C$13:$C$17)-$C$13))*($C$17/(SUM($C$13:$C$17)-$C$13-$C$16))*($C$14/(SUM($C$13:$C$17)-$C$13-$C$16-$C$17))+($C$13/SUM($C$13:$C$17))*($C$17/(SUM($C$13:$C$17)-$C$13))*($C$15/(SUM($C$13:$C$17)-$C$13-$C$17))*($C$14/(SUM($C$13:$C$17)-$C$13-$C$17-$C$15))+($C$13/SUM($C$13:$C$17))*($C$17/(SUM($C$13:$C$17)-$C$13))*($C$16/(SUM($C$13:$C$17)-$C$13-$C$17))*($C$14/(SUM($C$13:$C$17)-$C$13-$C$17-$C$16))+($C$15/SUM($C$13:$C$17))*($C$13/(SUM($C$13:$C$17)-$C$15))*($C$16/(SUM($C$13:$C$17)-$C$15-$C$13))*($C$14/(SUM($C$13:$C$17)-$C$15-$C$13-$C$16))+($C$15/SUM($C$13:$C$17))*($C$13/(SUM($C$13:$C$17)-$C$15))*($C$17/(SUM($C$13:$C$17)-$C$15-$C$13))*($C$14/(SUM($C$13:$C$17)-$C$15-$C$13-$C$17))+($C$15/SUM($C$13:$C$17))*($C$16/(SUM($C$13:$C$17)-$C$15))*($C$13/(SUM($C$13:$C$17)-$C$15-$C$16))*($C$14/(SUM($C$13:$C$17)-$C$15-$C$16-$C$13))+($C$15/SUM($C$13:$C$17))*($C$16/(SUM($C$13:$C$17)-$C$15))*($C$17/(SUM($C$13:$C$17)-$C$15-$C$16))*($C$14/(SUM($C$13:$C$17)-$C$15-$C$16-$C$17))+($C$15/SUM($C$13:$C$17))*($C$17/(SUM($C$13:$C$17)-$C$15))*($C$13/(SUM($C$13:$C$17)-$C$15-$C$17))*($C$14/(SUM($C$13:$C$17)-$C$15-$C$17-$C$13))+($C$15/SUM($C$13:$C$17))*($C$17/(SUM($C$13:$C$17)-$C$15))*($C$16/(SUM($C$13:$C$17)-$C$15-$C$17))*($C$14/(SUM($C$13:$C$17)-$C$15-$C$17-$C$16))+($C$16/SUM($C$13:$C$17))*($C$13/(SUM($C$13:$C$17)-$C$16))*($C$15/(SUM($C$13:$C$17)-$C$16-$C$13))*($C$14/(SUM($C$13:$C$17)-$C$16-$C$13-$C$15))+($C$16/SUM($C$13:$C$17))*($C$13/(SUM($C$13:$C$17)-$C$16))*($C$17/(SUM($C$13:$C$17)-$C$16-$C$13))*($C$14/(SUM($C$13:$C$17)-$C$16-$C$13-$C$17))+($C$16/SUM($C$13:$C$17))*($C$15/(SUM($C$13:$C$17)-$C$16))*($C$13/(SUM($C$13:$C$17)-$C$16-$C$15))*($C$14/(SUM($C$13:$C$17)-$C$16-$C$15-$C$13))+($C$16/SUM($C$13:$C$17))*($C$15/(SUM($C$13:$C$17)-$C$16))*($C$17/(SUM($C$13:$C$17)-$C$16-$C$15))*($C$14/(SUM($C$13:$C$17)-$C$16-$C$15-$C$17))+($C$16/SUM($C$13:$C$17))*($C$17/(SUM($C$13:$C$17)-$C$16))*($C$13/(SUM($C$13:$C$17)-$C$16-$C$17))*($C$14/(SUM($C$13:$C$17)-$C$16-$C$17-$C$13))+($C$16/SUM($C$13:$C$17))*($C$17/(SUM($C$13:$C$17)-$C$16))*($C$15/(SUM($C$13:$C$17)-$C$16-$C$17))*($C$14/(SUM($C$13:$C$17)-$C$16-$C$17-$C$15))+($C$17/SUM($C$13:$C$17))*($C$13/(SUM($C$13:$C$17)-$C$17))*($C$15/(SUM($C$13:$C$17)-$C$17-$C$13))*($C$14/(SUM($C$13:$C$17)-$C$17-$C$13-$C$15))+($C$17/SUM($C$13:$C$17))*($C$13/(SUM($C$13:$C$17)-$C$17))*($C$16/(SUM($C$13:$C$17)-$C$17-$C$13))*($C$14/(SUM($C$13:$C$17)-$C$17-$C$13-$C$16))+($C$17/SUM($C$13:$C$17))*($C$15/(SUM($C$13:$C$17)-$C$17))*($C$13/(SUM($C$13:$C$17)-$C$17-$C$15))*($C$14/(SUM($C$13:$C$17)-$C$17-$C$15-$C$13))+($C$17/SUM($C$13:$C$17))*($C$15/(SUM($C$13:$C$17)-$C$17))*($C$16/(SUM($C$13:$C$17)-$C$17-$C$15))*($C$14/(SUM($C$13:$C$17)-$C$17-$C$15-$C$16))+($C$17/SUM($C$13:$C$17))*($C$16/(SUM($C$13:$C$17)-$C$17))*($C$13/(SUM($C$13:$C$17)-$C$17-$C$16))*($C$14/(SUM($C$13:$C$17)-$C$17-$C$16-$C$13))+($C$17/SUM($C$13:$C$17))*($C$16/(SUM($C$13:$C$17)-$C$17))*($C$15/(SUM($C$13:$C$17)-$C$17-$C$16))*($C$14/(SUM($C$13:$C$17)-$C$17-$C$16-$C$15))</f>
        <v>0.209655540537893</v>
      </c>
      <c r="H14" s="11" t="n">
        <f aca="false">MIN(1,(IF(AND(0&gt;=$D$11,0&lt;=$F$11),0,0)+IF(AND(1&gt;=$D$11,1&lt;=$F$11),D14,0)+IF(AND(2&gt;=$D$11,2&lt;=$F$11),D14+E14,0)+IF(AND(3&gt;=$D$11,3&lt;=$F$11),D14+E14+F14,0)+IF(AND(4&gt;=$D$11,4&lt;=$F$11),D14+E14+F14+G14,0)+IF(AND(5&gt;=$D$11,5&lt;=$F$11),D14+E14+F14+G14,0)+IF(AND(6&gt;=$D$11,6&lt;=$F$11),D14+E14+F14+G14,0)+IF(AND(7&gt;=$D$11,7&lt;=$F$11),D14+E14+F14+G14,0)+IF(AND(8&gt;=$D$11,8&lt;=$F$11),D14+E14+F14+G14,0))/($F$11-$D$11+1))</f>
        <v>0.59280303030303</v>
      </c>
      <c r="I14" s="4" t="s">
        <v>198</v>
      </c>
      <c r="J14" s="4" t="s">
        <v>424</v>
      </c>
      <c r="K14" s="4"/>
      <c r="L14" s="4" t="s">
        <v>425</v>
      </c>
    </row>
    <row r="15" customFormat="false" ht="15" hidden="false" customHeight="false" outlineLevel="0" collapsed="false">
      <c r="A15" s="4" t="s">
        <v>316</v>
      </c>
      <c r="B15" s="4" t="s">
        <v>317</v>
      </c>
      <c r="C15" s="4" t="n">
        <f aca="false">Encounters!F54</f>
        <v>5</v>
      </c>
      <c r="D15" s="13" t="n">
        <f aca="false">$C$15/SUM($C$13:$C$17)</f>
        <v>0.15625</v>
      </c>
      <c r="E15" s="13" t="n">
        <f aca="false">($C$13/SUM($C$13:$C$17))*($C$15/(SUM($C$13:$C$17)-$C$13))+($C$14/SUM($C$13:$C$17))*($C$15/(SUM($C$13:$C$17)-$C$14))+($C$16/SUM($C$13:$C$17))*($C$15/(SUM($C$13:$C$17)-$C$16))+($C$17/SUM($C$13:$C$17))*($C$15/(SUM($C$13:$C$17)-$C$17))</f>
        <v>0.172073297073297</v>
      </c>
      <c r="F15" s="13" t="n">
        <f aca="false">($C$13/SUM($C$13:$C$17))*($C$14/(SUM($C$13:$C$17)-$C$13))*($C$15/(SUM($C$13:$C$17)-$C$13-$C$14))+($C$13/SUM($C$13:$C$17))*($C$16/(SUM($C$13:$C$17)-$C$13))*($C$15/(SUM($C$13:$C$17)-$C$13-$C$16))+($C$13/SUM($C$13:$C$17))*($C$17/(SUM($C$13:$C$17)-$C$13))*($C$15/(SUM($C$13:$C$17)-$C$13-$C$17))+($C$14/SUM($C$13:$C$17))*($C$13/(SUM($C$13:$C$17)-$C$14))*($C$15/(SUM($C$13:$C$17)-$C$14-$C$13))+($C$14/SUM($C$13:$C$17))*($C$16/(SUM($C$13:$C$17)-$C$14))*($C$15/(SUM($C$13:$C$17)-$C$14-$C$16))+($C$14/SUM($C$13:$C$17))*($C$17/(SUM($C$13:$C$17)-$C$14))*($C$15/(SUM($C$13:$C$17)-$C$14-$C$17))+($C$16/SUM($C$13:$C$17))*($C$13/(SUM($C$13:$C$17)-$C$16))*($C$15/(SUM($C$13:$C$17)-$C$16-$C$13))+($C$16/SUM($C$13:$C$17))*($C$14/(SUM($C$13:$C$17)-$C$16))*($C$15/(SUM($C$13:$C$17)-$C$16-$C$14))+($C$16/SUM($C$13:$C$17))*($C$17/(SUM($C$13:$C$17)-$C$16))*($C$15/(SUM($C$13:$C$17)-$C$16-$C$17))+($C$17/SUM($C$13:$C$17))*($C$13/(SUM($C$13:$C$17)-$C$17))*($C$15/(SUM($C$13:$C$17)-$C$17-$C$13))+($C$17/SUM($C$13:$C$17))*($C$14/(SUM($C$13:$C$17)-$C$17))*($C$15/(SUM($C$13:$C$17)-$C$17-$C$14))+($C$17/SUM($C$13:$C$17))*($C$16/(SUM($C$13:$C$17)-$C$17))*($C$15/(SUM($C$13:$C$17)-$C$17-$C$16))</f>
        <v>0.191588232029408</v>
      </c>
      <c r="G15" s="13" t="n">
        <f aca="false">($C$13/SUM($C$13:$C$17))*($C$14/(SUM($C$13:$C$17)-$C$13))*($C$16/(SUM($C$13:$C$17)-$C$13-$C$14))*($C$15/(SUM($C$13:$C$17)-$C$13-$C$14-$C$16))+($C$13/SUM($C$13:$C$17))*($C$14/(SUM($C$13:$C$17)-$C$13))*($C$17/(SUM($C$13:$C$17)-$C$13-$C$14))*($C$15/(SUM($C$13:$C$17)-$C$13-$C$14-$C$17))+($C$13/SUM($C$13:$C$17))*($C$16/(SUM($C$13:$C$17)-$C$13))*($C$14/(SUM($C$13:$C$17)-$C$13-$C$16))*($C$15/(SUM($C$13:$C$17)-$C$13-$C$16-$C$14))+($C$13/SUM($C$13:$C$17))*($C$16/(SUM($C$13:$C$17)-$C$13))*($C$17/(SUM($C$13:$C$17)-$C$13-$C$16))*($C$15/(SUM($C$13:$C$17)-$C$13-$C$16-$C$17))+($C$13/SUM($C$13:$C$17))*($C$17/(SUM($C$13:$C$17)-$C$13))*($C$14/(SUM($C$13:$C$17)-$C$13-$C$17))*($C$15/(SUM($C$13:$C$17)-$C$13-$C$17-$C$14))+($C$13/SUM($C$13:$C$17))*($C$17/(SUM($C$13:$C$17)-$C$13))*($C$16/(SUM($C$13:$C$17)-$C$13-$C$17))*($C$15/(SUM($C$13:$C$17)-$C$13-$C$17-$C$16))+($C$14/SUM($C$13:$C$17))*($C$13/(SUM($C$13:$C$17)-$C$14))*($C$16/(SUM($C$13:$C$17)-$C$14-$C$13))*($C$15/(SUM($C$13:$C$17)-$C$14-$C$13-$C$16))+($C$14/SUM($C$13:$C$17))*($C$13/(SUM($C$13:$C$17)-$C$14))*($C$17/(SUM($C$13:$C$17)-$C$14-$C$13))*($C$15/(SUM($C$13:$C$17)-$C$14-$C$13-$C$17))+($C$14/SUM($C$13:$C$17))*($C$16/(SUM($C$13:$C$17)-$C$14))*($C$13/(SUM($C$13:$C$17)-$C$14-$C$16))*($C$15/(SUM($C$13:$C$17)-$C$14-$C$16-$C$13))+($C$14/SUM($C$13:$C$17))*($C$16/(SUM($C$13:$C$17)-$C$14))*($C$17/(SUM($C$13:$C$17)-$C$14-$C$16))*($C$15/(SUM($C$13:$C$17)-$C$14-$C$16-$C$17))+($C$14/SUM($C$13:$C$17))*($C$17/(SUM($C$13:$C$17)-$C$14))*($C$13/(SUM($C$13:$C$17)-$C$14-$C$17))*($C$15/(SUM($C$13:$C$17)-$C$14-$C$17-$C$13))+($C$14/SUM($C$13:$C$17))*($C$17/(SUM($C$13:$C$17)-$C$14))*($C$16/(SUM($C$13:$C$17)-$C$14-$C$17))*($C$15/(SUM($C$13:$C$17)-$C$14-$C$17-$C$16))+($C$16/SUM($C$13:$C$17))*($C$13/(SUM($C$13:$C$17)-$C$16))*($C$14/(SUM($C$13:$C$17)-$C$16-$C$13))*($C$15/(SUM($C$13:$C$17)-$C$16-$C$13-$C$14))+($C$16/SUM($C$13:$C$17))*($C$13/(SUM($C$13:$C$17)-$C$16))*($C$17/(SUM($C$13:$C$17)-$C$16-$C$13))*($C$15/(SUM($C$13:$C$17)-$C$16-$C$13-$C$17))+($C$16/SUM($C$13:$C$17))*($C$14/(SUM($C$13:$C$17)-$C$16))*($C$13/(SUM($C$13:$C$17)-$C$16-$C$14))*($C$15/(SUM($C$13:$C$17)-$C$16-$C$14-$C$13))+($C$16/SUM($C$13:$C$17))*($C$14/(SUM($C$13:$C$17)-$C$16))*($C$17/(SUM($C$13:$C$17)-$C$16-$C$14))*($C$15/(SUM($C$13:$C$17)-$C$16-$C$14-$C$17))+($C$16/SUM($C$13:$C$17))*($C$17/(SUM($C$13:$C$17)-$C$16))*($C$13/(SUM($C$13:$C$17)-$C$16-$C$17))*($C$15/(SUM($C$13:$C$17)-$C$16-$C$17-$C$13))+($C$16/SUM($C$13:$C$17))*($C$17/(SUM($C$13:$C$17)-$C$16))*($C$14/(SUM($C$13:$C$17)-$C$16-$C$17))*($C$15/(SUM($C$13:$C$17)-$C$16-$C$17-$C$14))+($C$17/SUM($C$13:$C$17))*($C$13/(SUM($C$13:$C$17)-$C$17))*($C$14/(SUM($C$13:$C$17)-$C$17-$C$13))*($C$15/(SUM($C$13:$C$17)-$C$17-$C$13-$C$14))+($C$17/SUM($C$13:$C$17))*($C$13/(SUM($C$13:$C$17)-$C$17))*($C$16/(SUM($C$13:$C$17)-$C$17-$C$13))*($C$15/(SUM($C$13:$C$17)-$C$17-$C$13-$C$16))+($C$17/SUM($C$13:$C$17))*($C$14/(SUM($C$13:$C$17)-$C$17))*($C$13/(SUM($C$13:$C$17)-$C$17-$C$14))*($C$15/(SUM($C$13:$C$17)-$C$17-$C$14-$C$13))+($C$17/SUM($C$13:$C$17))*($C$14/(SUM($C$13:$C$17)-$C$17))*($C$16/(SUM($C$13:$C$17)-$C$17-$C$14))*($C$15/(SUM($C$13:$C$17)-$C$17-$C$14-$C$16))+($C$17/SUM($C$13:$C$17))*($C$16/(SUM($C$13:$C$17)-$C$17))*($C$13/(SUM($C$13:$C$17)-$C$17-$C$16))*($C$15/(SUM($C$13:$C$17)-$C$17-$C$16-$C$13))+($C$17/SUM($C$13:$C$17))*($C$16/(SUM($C$13:$C$17)-$C$17))*($C$14/(SUM($C$13:$C$17)-$C$17-$C$16))*($C$15/(SUM($C$13:$C$17)-$C$17-$C$16-$C$14))</f>
        <v>0.218027887145534</v>
      </c>
      <c r="H15" s="11" t="n">
        <f aca="false">MIN(1,(IF(AND(0&gt;=$D$11,0&lt;=$F$11),0,0)+IF(AND(1&gt;=$D$11,1&lt;=$F$11),D15,0)+IF(AND(2&gt;=$D$11,2&lt;=$F$11),D15+E15,0)+IF(AND(3&gt;=$D$11,3&lt;=$F$11),D15+E15+F15,0)+IF(AND(4&gt;=$D$11,4&lt;=$F$11),D15+E15+F15+G15,0)+IF(AND(5&gt;=$D$11,5&lt;=$F$11),D15+E15+F15+G15,0)+IF(AND(6&gt;=$D$11,6&lt;=$F$11),D15+E15+F15+G15,0)+IF(AND(7&gt;=$D$11,7&lt;=$F$11),D15+E15+F15+G15,0)+IF(AND(8&gt;=$D$11,8&lt;=$F$11),D15+E15+F15+G15,0))/($F$11-$D$11+1))</f>
        <v>0.528724747474747</v>
      </c>
      <c r="I15" s="4" t="s">
        <v>198</v>
      </c>
      <c r="J15" s="4" t="s">
        <v>426</v>
      </c>
      <c r="K15" s="4"/>
      <c r="L15" s="4" t="s">
        <v>427</v>
      </c>
    </row>
    <row r="16" customFormat="false" ht="15" hidden="false" customHeight="false" outlineLevel="0" collapsed="false">
      <c r="A16" s="4" t="s">
        <v>319</v>
      </c>
      <c r="B16" s="4" t="s">
        <v>320</v>
      </c>
      <c r="C16" s="4" t="n">
        <f aca="false">Encounters!F55</f>
        <v>6</v>
      </c>
      <c r="D16" s="13" t="n">
        <f aca="false">$C$16/SUM($C$13:$C$17)</f>
        <v>0.1875</v>
      </c>
      <c r="E16" s="13" t="n">
        <f aca="false">($C$13/SUM($C$13:$C$17))*($C$16/(SUM($C$13:$C$17)-$C$13))+($C$14/SUM($C$13:$C$17))*($C$16/(SUM($C$13:$C$17)-$C$14))+($C$15/SUM($C$13:$C$17))*($C$16/(SUM($C$13:$C$17)-$C$15))+($C$17/SUM($C$13:$C$17))*($C$16/(SUM($C$13:$C$17)-$C$17))</f>
        <v>0.197940947940948</v>
      </c>
      <c r="F16" s="13" t="n">
        <f aca="false">($C$13/SUM($C$13:$C$17))*($C$14/(SUM($C$13:$C$17)-$C$13))*($C$16/(SUM($C$13:$C$17)-$C$13-$C$14))+($C$13/SUM($C$13:$C$17))*($C$15/(SUM($C$13:$C$17)-$C$13))*($C$16/(SUM($C$13:$C$17)-$C$13-$C$15))+($C$13/SUM($C$13:$C$17))*($C$17/(SUM($C$13:$C$17)-$C$13))*($C$16/(SUM($C$13:$C$17)-$C$13-$C$17))+($C$14/SUM($C$13:$C$17))*($C$13/(SUM($C$13:$C$17)-$C$14))*($C$16/(SUM($C$13:$C$17)-$C$14-$C$13))+($C$14/SUM($C$13:$C$17))*($C$15/(SUM($C$13:$C$17)-$C$14))*($C$16/(SUM($C$13:$C$17)-$C$14-$C$15))+($C$14/SUM($C$13:$C$17))*($C$17/(SUM($C$13:$C$17)-$C$14))*($C$16/(SUM($C$13:$C$17)-$C$14-$C$17))+($C$15/SUM($C$13:$C$17))*($C$13/(SUM($C$13:$C$17)-$C$15))*($C$16/(SUM($C$13:$C$17)-$C$15-$C$13))+($C$15/SUM($C$13:$C$17))*($C$14/(SUM($C$13:$C$17)-$C$15))*($C$16/(SUM($C$13:$C$17)-$C$15-$C$14))+($C$15/SUM($C$13:$C$17))*($C$17/(SUM($C$13:$C$17)-$C$15))*($C$16/(SUM($C$13:$C$17)-$C$15-$C$17))+($C$17/SUM($C$13:$C$17))*($C$13/(SUM($C$13:$C$17)-$C$17))*($C$16/(SUM($C$13:$C$17)-$C$17-$C$13))+($C$17/SUM($C$13:$C$17))*($C$14/(SUM($C$13:$C$17)-$C$17))*($C$16/(SUM($C$13:$C$17)-$C$17-$C$14))+($C$17/SUM($C$13:$C$17))*($C$15/(SUM($C$13:$C$17)-$C$17))*($C$16/(SUM($C$13:$C$17)-$C$17-$C$15))</f>
        <v>0.206215353274177</v>
      </c>
      <c r="G16" s="13" t="n">
        <f aca="false">($C$13/SUM($C$13:$C$17))*($C$14/(SUM($C$13:$C$17)-$C$13))*($C$15/(SUM($C$13:$C$17)-$C$13-$C$14))*($C$16/(SUM($C$13:$C$17)-$C$13-$C$14-$C$15))+($C$13/SUM($C$13:$C$17))*($C$14/(SUM($C$13:$C$17)-$C$13))*($C$17/(SUM($C$13:$C$17)-$C$13-$C$14))*($C$16/(SUM($C$13:$C$17)-$C$13-$C$14-$C$17))+($C$13/SUM($C$13:$C$17))*($C$15/(SUM($C$13:$C$17)-$C$13))*($C$14/(SUM($C$13:$C$17)-$C$13-$C$15))*($C$16/(SUM($C$13:$C$17)-$C$13-$C$15-$C$14))+($C$13/SUM($C$13:$C$17))*($C$15/(SUM($C$13:$C$17)-$C$13))*($C$17/(SUM($C$13:$C$17)-$C$13-$C$15))*($C$16/(SUM($C$13:$C$17)-$C$13-$C$15-$C$17))+($C$13/SUM($C$13:$C$17))*($C$17/(SUM($C$13:$C$17)-$C$13))*($C$14/(SUM($C$13:$C$17)-$C$13-$C$17))*($C$16/(SUM($C$13:$C$17)-$C$13-$C$17-$C$14))+($C$13/SUM($C$13:$C$17))*($C$17/(SUM($C$13:$C$17)-$C$13))*($C$15/(SUM($C$13:$C$17)-$C$13-$C$17))*($C$16/(SUM($C$13:$C$17)-$C$13-$C$17-$C$15))+($C$14/SUM($C$13:$C$17))*($C$13/(SUM($C$13:$C$17)-$C$14))*($C$15/(SUM($C$13:$C$17)-$C$14-$C$13))*($C$16/(SUM($C$13:$C$17)-$C$14-$C$13-$C$15))+($C$14/SUM($C$13:$C$17))*($C$13/(SUM($C$13:$C$17)-$C$14))*($C$17/(SUM($C$13:$C$17)-$C$14-$C$13))*($C$16/(SUM($C$13:$C$17)-$C$14-$C$13-$C$17))+($C$14/SUM($C$13:$C$17))*($C$15/(SUM($C$13:$C$17)-$C$14))*($C$13/(SUM($C$13:$C$17)-$C$14-$C$15))*($C$16/(SUM($C$13:$C$17)-$C$14-$C$15-$C$13))+($C$14/SUM($C$13:$C$17))*($C$15/(SUM($C$13:$C$17)-$C$14))*($C$17/(SUM($C$13:$C$17)-$C$14-$C$15))*($C$16/(SUM($C$13:$C$17)-$C$14-$C$15-$C$17))+($C$14/SUM($C$13:$C$17))*($C$17/(SUM($C$13:$C$17)-$C$14))*($C$13/(SUM($C$13:$C$17)-$C$14-$C$17))*($C$16/(SUM($C$13:$C$17)-$C$14-$C$17-$C$13))+($C$14/SUM($C$13:$C$17))*($C$17/(SUM($C$13:$C$17)-$C$14))*($C$15/(SUM($C$13:$C$17)-$C$14-$C$17))*($C$16/(SUM($C$13:$C$17)-$C$14-$C$17-$C$15))+($C$15/SUM($C$13:$C$17))*($C$13/(SUM($C$13:$C$17)-$C$15))*($C$14/(SUM($C$13:$C$17)-$C$15-$C$13))*($C$16/(SUM($C$13:$C$17)-$C$15-$C$13-$C$14))+($C$15/SUM($C$13:$C$17))*($C$13/(SUM($C$13:$C$17)-$C$15))*($C$17/(SUM($C$13:$C$17)-$C$15-$C$13))*($C$16/(SUM($C$13:$C$17)-$C$15-$C$13-$C$17))+($C$15/SUM($C$13:$C$17))*($C$14/(SUM($C$13:$C$17)-$C$15))*($C$13/(SUM($C$13:$C$17)-$C$15-$C$14))*($C$16/(SUM($C$13:$C$17)-$C$15-$C$14-$C$13))+($C$15/SUM($C$13:$C$17))*($C$14/(SUM($C$13:$C$17)-$C$15))*($C$17/(SUM($C$13:$C$17)-$C$15-$C$14))*($C$16/(SUM($C$13:$C$17)-$C$15-$C$14-$C$17))+($C$15/SUM($C$13:$C$17))*($C$17/(SUM($C$13:$C$17)-$C$15))*($C$13/(SUM($C$13:$C$17)-$C$15-$C$17))*($C$16/(SUM($C$13:$C$17)-$C$15-$C$17-$C$13))+($C$15/SUM($C$13:$C$17))*($C$17/(SUM($C$13:$C$17)-$C$15))*($C$14/(SUM($C$13:$C$17)-$C$15-$C$17))*($C$16/(SUM($C$13:$C$17)-$C$15-$C$17-$C$14))+($C$17/SUM($C$13:$C$17))*($C$13/(SUM($C$13:$C$17)-$C$17))*($C$14/(SUM($C$13:$C$17)-$C$17-$C$13))*($C$16/(SUM($C$13:$C$17)-$C$17-$C$13-$C$14))+($C$17/SUM($C$13:$C$17))*($C$13/(SUM($C$13:$C$17)-$C$17))*($C$15/(SUM($C$13:$C$17)-$C$17-$C$13))*($C$16/(SUM($C$13:$C$17)-$C$17-$C$13-$C$15))+($C$17/SUM($C$13:$C$17))*($C$14/(SUM($C$13:$C$17)-$C$17))*($C$13/(SUM($C$13:$C$17)-$C$17-$C$14))*($C$16/(SUM($C$13:$C$17)-$C$17-$C$14-$C$13))+($C$17/SUM($C$13:$C$17))*($C$14/(SUM($C$13:$C$17)-$C$17))*($C$15/(SUM($C$13:$C$17)-$C$17-$C$14))*($C$16/(SUM($C$13:$C$17)-$C$17-$C$14-$C$15))+($C$17/SUM($C$13:$C$17))*($C$15/(SUM($C$13:$C$17)-$C$17))*($C$13/(SUM($C$13:$C$17)-$C$17-$C$15))*($C$16/(SUM($C$13:$C$17)-$C$17-$C$15-$C$13))+($C$17/SUM($C$13:$C$17))*($C$15/(SUM($C$13:$C$17)-$C$17))*($C$14/(SUM($C$13:$C$17)-$C$17-$C$15))*($C$16/(SUM($C$13:$C$17)-$C$17-$C$15-$C$14))</f>
        <v>0.209655540537893</v>
      </c>
      <c r="H16" s="11" t="n">
        <f aca="false">MIN(1,(IF(AND(0&gt;=$D$11,0&lt;=$F$11),0,0)+IF(AND(1&gt;=$D$11,1&lt;=$F$11),D16,0)+IF(AND(2&gt;=$D$11,2&lt;=$F$11),D16+E16,0)+IF(AND(3&gt;=$D$11,3&lt;=$F$11),D16+E16+F16,0)+IF(AND(4&gt;=$D$11,4&lt;=$F$11),D16+E16+F16+G16,0)+IF(AND(5&gt;=$D$11,5&lt;=$F$11),D16+E16+F16+G16,0)+IF(AND(6&gt;=$D$11,6&lt;=$F$11),D16+E16+F16+G16,0)+IF(AND(7&gt;=$D$11,7&lt;=$F$11),D16+E16+F16+G16,0)+IF(AND(8&gt;=$D$11,8&lt;=$F$11),D16+E16+F16+G16,0))/($F$11-$D$11+1))</f>
        <v>0.59280303030303</v>
      </c>
      <c r="I16" s="4" t="s">
        <v>198</v>
      </c>
      <c r="J16" s="4"/>
      <c r="K16" s="4"/>
      <c r="L16" s="4" t="s">
        <v>428</v>
      </c>
    </row>
    <row r="17" customFormat="false" ht="15" hidden="false" customHeight="false" outlineLevel="0" collapsed="false">
      <c r="A17" s="4" t="s">
        <v>369</v>
      </c>
      <c r="B17" s="4" t="s">
        <v>370</v>
      </c>
      <c r="C17" s="4" t="n">
        <f aca="false">Encounters!F69</f>
        <v>5</v>
      </c>
      <c r="D17" s="13" t="n">
        <f aca="false">$C$17/SUM($C$13:$C$17)</f>
        <v>0.15625</v>
      </c>
      <c r="E17" s="13" t="n">
        <f aca="false">($C$13/SUM($C$13:$C$17))*($C$17/(SUM($C$13:$C$17)-$C$13))+($C$14/SUM($C$13:$C$17))*($C$17/(SUM($C$13:$C$17)-$C$14))+($C$15/SUM($C$13:$C$17))*($C$17/(SUM($C$13:$C$17)-$C$15))+($C$16/SUM($C$13:$C$17))*($C$17/(SUM($C$13:$C$17)-$C$16))</f>
        <v>0.172073297073297</v>
      </c>
      <c r="F17" s="13" t="n">
        <f aca="false">($C$13/SUM($C$13:$C$17))*($C$14/(SUM($C$13:$C$17)-$C$13))*($C$17/(SUM($C$13:$C$17)-$C$13-$C$14))+($C$13/SUM($C$13:$C$17))*($C$15/(SUM($C$13:$C$17)-$C$13))*($C$17/(SUM($C$13:$C$17)-$C$13-$C$15))+($C$13/SUM($C$13:$C$17))*($C$16/(SUM($C$13:$C$17)-$C$13))*($C$17/(SUM($C$13:$C$17)-$C$13-$C$16))+($C$14/SUM($C$13:$C$17))*($C$13/(SUM($C$13:$C$17)-$C$14))*($C$17/(SUM($C$13:$C$17)-$C$14-$C$13))+($C$14/SUM($C$13:$C$17))*($C$15/(SUM($C$13:$C$17)-$C$14))*($C$17/(SUM($C$13:$C$17)-$C$14-$C$15))+($C$14/SUM($C$13:$C$17))*($C$16/(SUM($C$13:$C$17)-$C$14))*($C$17/(SUM($C$13:$C$17)-$C$14-$C$16))+($C$15/SUM($C$13:$C$17))*($C$13/(SUM($C$13:$C$17)-$C$15))*($C$17/(SUM($C$13:$C$17)-$C$15-$C$13))+($C$15/SUM($C$13:$C$17))*($C$14/(SUM($C$13:$C$17)-$C$15))*($C$17/(SUM($C$13:$C$17)-$C$15-$C$14))+($C$15/SUM($C$13:$C$17))*($C$16/(SUM($C$13:$C$17)-$C$15))*($C$17/(SUM($C$13:$C$17)-$C$15-$C$16))+($C$16/SUM($C$13:$C$17))*($C$13/(SUM($C$13:$C$17)-$C$16))*($C$17/(SUM($C$13:$C$17)-$C$16-$C$13))+($C$16/SUM($C$13:$C$17))*($C$14/(SUM($C$13:$C$17)-$C$16))*($C$17/(SUM($C$13:$C$17)-$C$16-$C$14))+($C$16/SUM($C$13:$C$17))*($C$15/(SUM($C$13:$C$17)-$C$16))*($C$17/(SUM($C$13:$C$17)-$C$16-$C$15))</f>
        <v>0.191588232029408</v>
      </c>
      <c r="G17" s="13" t="n">
        <f aca="false">($C$13/SUM($C$13:$C$17))*($C$14/(SUM($C$13:$C$17)-$C$13))*($C$15/(SUM($C$13:$C$17)-$C$13-$C$14))*($C$17/(SUM($C$13:$C$17)-$C$13-$C$14-$C$15))+($C$13/SUM($C$13:$C$17))*($C$14/(SUM($C$13:$C$17)-$C$13))*($C$16/(SUM($C$13:$C$17)-$C$13-$C$14))*($C$17/(SUM($C$13:$C$17)-$C$13-$C$14-$C$16))+($C$13/SUM($C$13:$C$17))*($C$15/(SUM($C$13:$C$17)-$C$13))*($C$14/(SUM($C$13:$C$17)-$C$13-$C$15))*($C$17/(SUM($C$13:$C$17)-$C$13-$C$15-$C$14))+($C$13/SUM($C$13:$C$17))*($C$15/(SUM($C$13:$C$17)-$C$13))*($C$16/(SUM($C$13:$C$17)-$C$13-$C$15))*($C$17/(SUM($C$13:$C$17)-$C$13-$C$15-$C$16))+($C$13/SUM($C$13:$C$17))*($C$16/(SUM($C$13:$C$17)-$C$13))*($C$14/(SUM($C$13:$C$17)-$C$13-$C$16))*($C$17/(SUM($C$13:$C$17)-$C$13-$C$16-$C$14))+($C$13/SUM($C$13:$C$17))*($C$16/(SUM($C$13:$C$17)-$C$13))*($C$15/(SUM($C$13:$C$17)-$C$13-$C$16))*($C$17/(SUM($C$13:$C$17)-$C$13-$C$16-$C$15))+($C$14/SUM($C$13:$C$17))*($C$13/(SUM($C$13:$C$17)-$C$14))*($C$15/(SUM($C$13:$C$17)-$C$14-$C$13))*($C$17/(SUM($C$13:$C$17)-$C$14-$C$13-$C$15))+($C$14/SUM($C$13:$C$17))*($C$13/(SUM($C$13:$C$17)-$C$14))*($C$16/(SUM($C$13:$C$17)-$C$14-$C$13))*($C$17/(SUM($C$13:$C$17)-$C$14-$C$13-$C$16))+($C$14/SUM($C$13:$C$17))*($C$15/(SUM($C$13:$C$17)-$C$14))*($C$13/(SUM($C$13:$C$17)-$C$14-$C$15))*($C$17/(SUM($C$13:$C$17)-$C$14-$C$15-$C$13))+($C$14/SUM($C$13:$C$17))*($C$15/(SUM($C$13:$C$17)-$C$14))*($C$16/(SUM($C$13:$C$17)-$C$14-$C$15))*($C$17/(SUM($C$13:$C$17)-$C$14-$C$15-$C$16))+($C$14/SUM($C$13:$C$17))*($C$16/(SUM($C$13:$C$17)-$C$14))*($C$13/(SUM($C$13:$C$17)-$C$14-$C$16))*($C$17/(SUM($C$13:$C$17)-$C$14-$C$16-$C$13))+($C$14/SUM($C$13:$C$17))*($C$16/(SUM($C$13:$C$17)-$C$14))*($C$15/(SUM($C$13:$C$17)-$C$14-$C$16))*($C$17/(SUM($C$13:$C$17)-$C$14-$C$16-$C$15))+($C$15/SUM($C$13:$C$17))*($C$13/(SUM($C$13:$C$17)-$C$15))*($C$14/(SUM($C$13:$C$17)-$C$15-$C$13))*($C$17/(SUM($C$13:$C$17)-$C$15-$C$13-$C$14))+($C$15/SUM($C$13:$C$17))*($C$13/(SUM($C$13:$C$17)-$C$15))*($C$16/(SUM($C$13:$C$17)-$C$15-$C$13))*($C$17/(SUM($C$13:$C$17)-$C$15-$C$13-$C$16))+($C$15/SUM($C$13:$C$17))*($C$14/(SUM($C$13:$C$17)-$C$15))*($C$13/(SUM($C$13:$C$17)-$C$15-$C$14))*($C$17/(SUM($C$13:$C$17)-$C$15-$C$14-$C$13))+($C$15/SUM($C$13:$C$17))*($C$14/(SUM($C$13:$C$17)-$C$15))*($C$16/(SUM($C$13:$C$17)-$C$15-$C$14))*($C$17/(SUM($C$13:$C$17)-$C$15-$C$14-$C$16))+($C$15/SUM($C$13:$C$17))*($C$16/(SUM($C$13:$C$17)-$C$15))*($C$13/(SUM($C$13:$C$17)-$C$15-$C$16))*($C$17/(SUM($C$13:$C$17)-$C$15-$C$16-$C$13))+($C$15/SUM($C$13:$C$17))*($C$16/(SUM($C$13:$C$17)-$C$15))*($C$14/(SUM($C$13:$C$17)-$C$15-$C$16))*($C$17/(SUM($C$13:$C$17)-$C$15-$C$16-$C$14))+($C$16/SUM($C$13:$C$17))*($C$13/(SUM($C$13:$C$17)-$C$16))*($C$14/(SUM($C$13:$C$17)-$C$16-$C$13))*($C$17/(SUM($C$13:$C$17)-$C$16-$C$13-$C$14))+($C$16/SUM($C$13:$C$17))*($C$13/(SUM($C$13:$C$17)-$C$16))*($C$15/(SUM($C$13:$C$17)-$C$16-$C$13))*($C$17/(SUM($C$13:$C$17)-$C$16-$C$13-$C$15))+($C$16/SUM($C$13:$C$17))*($C$14/(SUM($C$13:$C$17)-$C$16))*($C$13/(SUM($C$13:$C$17)-$C$16-$C$14))*($C$17/(SUM($C$13:$C$17)-$C$16-$C$14-$C$13))+($C$16/SUM($C$13:$C$17))*($C$14/(SUM($C$13:$C$17)-$C$16))*($C$15/(SUM($C$13:$C$17)-$C$16-$C$14))*($C$17/(SUM($C$13:$C$17)-$C$16-$C$14-$C$15))+($C$16/SUM($C$13:$C$17))*($C$15/(SUM($C$13:$C$17)-$C$16))*($C$13/(SUM($C$13:$C$17)-$C$16-$C$15))*($C$17/(SUM($C$13:$C$17)-$C$16-$C$15-$C$13))+($C$16/SUM($C$13:$C$17))*($C$15/(SUM($C$13:$C$17)-$C$16))*($C$14/(SUM($C$13:$C$17)-$C$16-$C$15))*($C$17/(SUM($C$13:$C$17)-$C$16-$C$15-$C$14))</f>
        <v>0.218027887145534</v>
      </c>
      <c r="H17" s="11" t="n">
        <f aca="false">MIN(1,(IF(AND(0&gt;=$D$11,0&lt;=$F$11),0,0)+IF(AND(1&gt;=$D$11,1&lt;=$F$11),D17,0)+IF(AND(2&gt;=$D$11,2&lt;=$F$11),D17+E17,0)+IF(AND(3&gt;=$D$11,3&lt;=$F$11),D17+E17+F17,0)+IF(AND(4&gt;=$D$11,4&lt;=$F$11),D17+E17+F17+G17,0)+IF(AND(5&gt;=$D$11,5&lt;=$F$11),D17+E17+F17+G17,0)+IF(AND(6&gt;=$D$11,6&lt;=$F$11),D17+E17+F17+G17,0)+IF(AND(7&gt;=$D$11,7&lt;=$F$11),D17+E17+F17+G17,0)+IF(AND(8&gt;=$D$11,8&lt;=$F$11),D17+E17+F17+G17,0))/($F$11-$D$11+1))</f>
        <v>0.528724747474748</v>
      </c>
      <c r="I17" s="4" t="s">
        <v>106</v>
      </c>
      <c r="J17" s="4" t="s">
        <v>429</v>
      </c>
      <c r="K17" s="4" t="s">
        <v>367</v>
      </c>
      <c r="L17" s="4" t="s">
        <v>430</v>
      </c>
    </row>
    <row r="18" customFormat="false" ht="15" hidden="false" customHeight="false" outlineLevel="0" collapsed="false">
      <c r="B18" s="2" t="s">
        <v>420</v>
      </c>
      <c r="H18" s="14" t="n">
        <f aca="false">SUM(H13:H17)</f>
        <v>3</v>
      </c>
    </row>
    <row r="20" customFormat="false" ht="17.35" hidden="false" customHeight="false" outlineLevel="0" collapsed="false">
      <c r="A20" s="1" t="s">
        <v>324</v>
      </c>
      <c r="C20" s="3" t="s">
        <v>403</v>
      </c>
      <c r="D20" s="7" t="n">
        <v>2</v>
      </c>
      <c r="E20" s="3" t="s">
        <v>404</v>
      </c>
      <c r="F20" s="7" t="n">
        <v>3</v>
      </c>
      <c r="G20" s="2" t="s">
        <v>431</v>
      </c>
    </row>
    <row r="21" customFormat="false" ht="31.5" hidden="false" customHeight="true" outlineLevel="0" collapsed="false">
      <c r="A21" s="5" t="s">
        <v>83</v>
      </c>
      <c r="B21" s="5" t="s">
        <v>84</v>
      </c>
      <c r="C21" s="5" t="s">
        <v>406</v>
      </c>
      <c r="D21" s="5" t="s">
        <v>407</v>
      </c>
      <c r="E21" s="5" t="s">
        <v>408</v>
      </c>
      <c r="F21" s="5" t="s">
        <v>409</v>
      </c>
      <c r="G21" s="5" t="s">
        <v>410</v>
      </c>
      <c r="H21" s="5" t="s">
        <v>411</v>
      </c>
      <c r="I21" s="5" t="s">
        <v>412</v>
      </c>
      <c r="J21" s="5" t="s">
        <v>21</v>
      </c>
      <c r="K21" s="5" t="s">
        <v>98</v>
      </c>
      <c r="L21" s="5" t="s">
        <v>413</v>
      </c>
    </row>
    <row r="22" customFormat="false" ht="15" hidden="false" customHeight="false" outlineLevel="0" collapsed="false">
      <c r="A22" s="4" t="s">
        <v>322</v>
      </c>
      <c r="B22" s="4" t="s">
        <v>323</v>
      </c>
      <c r="C22" s="4" t="n">
        <f aca="false">Encounters!F56</f>
        <v>10</v>
      </c>
      <c r="D22" s="13" t="n">
        <f aca="false">$C$22/SUM($C$22:$C$24)</f>
        <v>0.416666666666667</v>
      </c>
      <c r="E22" s="13" t="n">
        <f aca="false">($C$23/SUM($C$22:$C$24))*($C$22/(SUM($C$22:$C$24)-$C$23))+($C$24/SUM($C$22:$C$24))*($C$22/(SUM($C$22:$C$24)-$C$24))</f>
        <v>0.347222222222222</v>
      </c>
      <c r="F22" s="13" t="n">
        <f aca="false">($C$23/SUM($C$22:$C$24))*($C$24/(SUM($C$22:$C$24)-$C$23))*($C$22/(SUM($C$22:$C$24)-$C$23-$C$24))+($C$24/SUM($C$22:$C$24))*($C$23/(SUM($C$22:$C$24)-$C$24))*($C$22/(SUM($C$22:$C$24)-$C$24-$C$23))</f>
        <v>0.236111111111111</v>
      </c>
      <c r="G22" s="13" t="n">
        <f aca="false">0</f>
        <v>0</v>
      </c>
      <c r="H22" s="11" t="n">
        <f aca="false">MIN(1,(IF(AND(0&gt;=$D$20,0&lt;=$F$20),0,0)+IF(AND(1&gt;=$D$20,1&lt;=$F$20),D22,0)+IF(AND(2&gt;=$D$20,2&lt;=$F$20),D22+E22,0)+IF(AND(3&gt;=$D$20,3&lt;=$F$20),D22+E22+F22,0)+IF(AND(4&gt;=$D$20,4&lt;=$F$20),D22+E22+F22+G22,0)+IF(AND(5&gt;=$D$20,5&lt;=$F$20),D22+E22+F22+G22,0)+IF(AND(6&gt;=$D$20,6&lt;=$F$20),D22+E22+F22+G22,0)+IF(AND(7&gt;=$D$20,7&lt;=$F$20),D22+E22+F22+G22,0)+IF(AND(8&gt;=$D$20,8&lt;=$F$20),D22+E22+F22+G22,0))/($F$20-$D$20+1))</f>
        <v>0.881944444444444</v>
      </c>
      <c r="I22" s="4" t="s">
        <v>297</v>
      </c>
      <c r="J22" s="4" t="s">
        <v>432</v>
      </c>
      <c r="K22" s="4"/>
      <c r="L22" s="4" t="s">
        <v>433</v>
      </c>
    </row>
    <row r="23" customFormat="false" ht="15" hidden="false" customHeight="false" outlineLevel="0" collapsed="false">
      <c r="A23" s="4" t="s">
        <v>326</v>
      </c>
      <c r="B23" s="4" t="s">
        <v>327</v>
      </c>
      <c r="C23" s="4" t="n">
        <f aca="false">Encounters!F57</f>
        <v>8</v>
      </c>
      <c r="D23" s="13" t="n">
        <f aca="false">$C$23/SUM($C$22:$C$24)</f>
        <v>0.333333333333333</v>
      </c>
      <c r="E23" s="13" t="n">
        <f aca="false">($C$22/SUM($C$22:$C$24))*($C$23/(SUM($C$22:$C$24)-$C$22))+($C$24/SUM($C$22:$C$24))*($C$23/(SUM($C$22:$C$24)-$C$24))</f>
        <v>0.349206349206349</v>
      </c>
      <c r="F23" s="13" t="n">
        <f aca="false">($C$22/SUM($C$22:$C$24))*($C$24/(SUM($C$22:$C$24)-$C$22))*($C$23/(SUM($C$22:$C$24)-$C$22-$C$24))+($C$24/SUM($C$22:$C$24))*($C$22/(SUM($C$22:$C$24)-$C$24))*($C$23/(SUM($C$22:$C$24)-$C$24-$C$22))</f>
        <v>0.317460317460317</v>
      </c>
      <c r="G23" s="13" t="n">
        <f aca="false">0</f>
        <v>0</v>
      </c>
      <c r="H23" s="11" t="n">
        <f aca="false">MIN(1,(IF(AND(0&gt;=$D$20,0&lt;=$F$20),0,0)+IF(AND(1&gt;=$D$20,1&lt;=$F$20),D23,0)+IF(AND(2&gt;=$D$20,2&lt;=$F$20),D23+E23,0)+IF(AND(3&gt;=$D$20,3&lt;=$F$20),D23+E23+F23,0)+IF(AND(4&gt;=$D$20,4&lt;=$F$20),D23+E23+F23+G23,0)+IF(AND(5&gt;=$D$20,5&lt;=$F$20),D23+E23+F23+G23,0)+IF(AND(6&gt;=$D$20,6&lt;=$F$20),D23+E23+F23+G23,0)+IF(AND(7&gt;=$D$20,7&lt;=$F$20),D23+E23+F23+G23,0)+IF(AND(8&gt;=$D$20,8&lt;=$F$20),D23+E23+F23+G23,0))/($F$20-$D$20+1))</f>
        <v>0.841269841269841</v>
      </c>
      <c r="I23" s="4" t="s">
        <v>297</v>
      </c>
      <c r="J23" s="4" t="s">
        <v>434</v>
      </c>
      <c r="K23" s="4" t="s">
        <v>299</v>
      </c>
      <c r="L23" s="4" t="s">
        <v>435</v>
      </c>
    </row>
    <row r="24" customFormat="false" ht="15" hidden="false" customHeight="false" outlineLevel="0" collapsed="false">
      <c r="A24" s="4" t="s">
        <v>329</v>
      </c>
      <c r="B24" s="4" t="s">
        <v>330</v>
      </c>
      <c r="C24" s="4" t="n">
        <f aca="false">Encounters!F58</f>
        <v>6</v>
      </c>
      <c r="D24" s="13" t="n">
        <f aca="false">$C$24/SUM($C$22:$C$24)</f>
        <v>0.25</v>
      </c>
      <c r="E24" s="13" t="n">
        <f aca="false">($C$22/SUM($C$22:$C$24))*($C$24/(SUM($C$22:$C$24)-$C$22))+($C$23/SUM($C$22:$C$24))*($C$24/(SUM($C$22:$C$24)-$C$23))</f>
        <v>0.303571428571429</v>
      </c>
      <c r="F24" s="13" t="n">
        <f aca="false">($C$22/SUM($C$22:$C$24))*($C$23/(SUM($C$22:$C$24)-$C$22))*($C$24/(SUM($C$22:$C$24)-$C$22-$C$23))+($C$23/SUM($C$22:$C$24))*($C$22/(SUM($C$22:$C$24)-$C$23))*($C$24/(SUM($C$22:$C$24)-$C$23-$C$22))</f>
        <v>0.446428571428571</v>
      </c>
      <c r="G24" s="13" t="n">
        <f aca="false">0</f>
        <v>0</v>
      </c>
      <c r="H24" s="11" t="n">
        <f aca="false">MIN(1,(IF(AND(0&gt;=$D$20,0&lt;=$F$20),0,0)+IF(AND(1&gt;=$D$20,1&lt;=$F$20),D24,0)+IF(AND(2&gt;=$D$20,2&lt;=$F$20),D24+E24,0)+IF(AND(3&gt;=$D$20,3&lt;=$F$20),D24+E24+F24,0)+IF(AND(4&gt;=$D$20,4&lt;=$F$20),D24+E24+F24+G24,0)+IF(AND(5&gt;=$D$20,5&lt;=$F$20),D24+E24+F24+G24,0)+IF(AND(6&gt;=$D$20,6&lt;=$F$20),D24+E24+F24+G24,0)+IF(AND(7&gt;=$D$20,7&lt;=$F$20),D24+E24+F24+G24,0)+IF(AND(8&gt;=$D$20,8&lt;=$F$20),D24+E24+F24+G24,0))/($F$20-$D$20+1))</f>
        <v>0.776785714285714</v>
      </c>
      <c r="I24" s="4" t="s">
        <v>297</v>
      </c>
      <c r="J24" s="4" t="s">
        <v>436</v>
      </c>
      <c r="K24" s="4"/>
      <c r="L24" s="4" t="s">
        <v>437</v>
      </c>
    </row>
    <row r="25" customFormat="false" ht="15" hidden="false" customHeight="false" outlineLevel="0" collapsed="false">
      <c r="B25" s="2" t="s">
        <v>420</v>
      </c>
      <c r="H25" s="14" t="n">
        <f aca="false">SUM(H22:H24)</f>
        <v>2.5</v>
      </c>
    </row>
    <row r="27" customFormat="false" ht="17.35" hidden="false" customHeight="false" outlineLevel="0" collapsed="false">
      <c r="A27" s="1" t="s">
        <v>335</v>
      </c>
      <c r="C27" s="3" t="s">
        <v>403</v>
      </c>
      <c r="D27" s="7" t="n">
        <v>2</v>
      </c>
      <c r="E27" s="3" t="s">
        <v>404</v>
      </c>
      <c r="F27" s="7" t="n">
        <v>3</v>
      </c>
      <c r="G27" s="2" t="s">
        <v>438</v>
      </c>
    </row>
    <row r="28" customFormat="false" ht="31.5" hidden="false" customHeight="true" outlineLevel="0" collapsed="false">
      <c r="A28" s="5" t="s">
        <v>83</v>
      </c>
      <c r="B28" s="5" t="s">
        <v>84</v>
      </c>
      <c r="C28" s="5" t="s">
        <v>406</v>
      </c>
      <c r="D28" s="5" t="s">
        <v>407</v>
      </c>
      <c r="E28" s="5" t="s">
        <v>408</v>
      </c>
      <c r="F28" s="5" t="s">
        <v>409</v>
      </c>
      <c r="G28" s="5" t="s">
        <v>410</v>
      </c>
      <c r="H28" s="5" t="s">
        <v>411</v>
      </c>
      <c r="I28" s="5" t="s">
        <v>412</v>
      </c>
      <c r="J28" s="5" t="s">
        <v>21</v>
      </c>
      <c r="K28" s="5" t="s">
        <v>98</v>
      </c>
      <c r="L28" s="5" t="s">
        <v>413</v>
      </c>
    </row>
    <row r="29" customFormat="false" ht="15" hidden="false" customHeight="false" outlineLevel="0" collapsed="false">
      <c r="A29" s="4" t="s">
        <v>332</v>
      </c>
      <c r="B29" s="4" t="s">
        <v>333</v>
      </c>
      <c r="C29" s="4" t="n">
        <f aca="false">Encounters!F59</f>
        <v>9</v>
      </c>
      <c r="D29" s="13" t="n">
        <f aca="false">$C$29/SUM($C$29:$C$31)</f>
        <v>0.409090909090909</v>
      </c>
      <c r="E29" s="13" t="n">
        <f aca="false">($C$30/SUM($C$29:$C$31))*($C$29/(SUM($C$29:$C$31)-$C$30))+($C$31/SUM($C$29:$C$31))*($C$29/(SUM($C$29:$C$31)-$C$31))</f>
        <v>0.354087089381207</v>
      </c>
      <c r="F29" s="13" t="n">
        <f aca="false">($C$30/SUM($C$29:$C$31))*($C$31/(SUM($C$29:$C$31)-$C$30))*($C$29/(SUM($C$29:$C$31)-$C$30-$C$31))+($C$31/SUM($C$29:$C$31))*($C$30/(SUM($C$29:$C$31)-$C$31))*($C$29/(SUM($C$29:$C$31)-$C$31-$C$30))</f>
        <v>0.236822001527884</v>
      </c>
      <c r="G29" s="13" t="n">
        <f aca="false">0</f>
        <v>0</v>
      </c>
      <c r="H29" s="11" t="n">
        <f aca="false">MIN(1,(IF(AND(0&gt;=$D$27,0&lt;=$F$27),0,0)+IF(AND(1&gt;=$D$27,1&lt;=$F$27),D29,0)+IF(AND(2&gt;=$D$27,2&lt;=$F$27),D29+E29,0)+IF(AND(3&gt;=$D$27,3&lt;=$F$27),D29+E29+F29,0)+IF(AND(4&gt;=$D$27,4&lt;=$F$27),D29+E29+F29+G29,0)+IF(AND(5&gt;=$D$27,5&lt;=$F$27),D29+E29+F29+G29,0)+IF(AND(6&gt;=$D$27,6&lt;=$F$27),D29+E29+F29+G29,0)+IF(AND(7&gt;=$D$27,7&lt;=$F$27),D29+E29+F29+G29,0)+IF(AND(8&gt;=$D$27,8&lt;=$F$27),D29+E29+F29+G29,0))/($F$27-$D$27+1))</f>
        <v>0.881588999236058</v>
      </c>
      <c r="I29" s="4" t="s">
        <v>334</v>
      </c>
      <c r="J29" s="4" t="s">
        <v>439</v>
      </c>
      <c r="K29" s="4"/>
      <c r="L29" s="4" t="s">
        <v>423</v>
      </c>
    </row>
    <row r="30" customFormat="false" ht="15" hidden="false" customHeight="false" outlineLevel="0" collapsed="false">
      <c r="A30" s="4" t="s">
        <v>337</v>
      </c>
      <c r="B30" s="4" t="s">
        <v>338</v>
      </c>
      <c r="C30" s="4" t="n">
        <f aca="false">Encounters!F60</f>
        <v>8</v>
      </c>
      <c r="D30" s="13" t="n">
        <f aca="false">$C$30/SUM($C$29:$C$31)</f>
        <v>0.363636363636364</v>
      </c>
      <c r="E30" s="13" t="n">
        <f aca="false">($C$29/SUM($C$29:$C$31))*($C$30/(SUM($C$29:$C$31)-$C$29))+($C$31/SUM($C$29:$C$31))*($C$30/(SUM($C$29:$C$31)-$C$31))</f>
        <v>0.358700123406006</v>
      </c>
      <c r="F30" s="13" t="n">
        <f aca="false">($C$29/SUM($C$29:$C$31))*($C$31/(SUM($C$29:$C$31)-$C$29))*($C$30/(SUM($C$29:$C$31)-$C$29-$C$31))+($C$31/SUM($C$29:$C$31))*($C$29/(SUM($C$29:$C$31)-$C$31))*($C$30/(SUM($C$29:$C$31)-$C$31-$C$29))</f>
        <v>0.277663512957631</v>
      </c>
      <c r="G30" s="13" t="n">
        <f aca="false">0</f>
        <v>0</v>
      </c>
      <c r="H30" s="11" t="n">
        <f aca="false">MIN(1,(IF(AND(0&gt;=$D$27,0&lt;=$F$27),0,0)+IF(AND(1&gt;=$D$27,1&lt;=$F$27),D30,0)+IF(AND(2&gt;=$D$27,2&lt;=$F$27),D30+E30,0)+IF(AND(3&gt;=$D$27,3&lt;=$F$27),D30+E30+F30,0)+IF(AND(4&gt;=$D$27,4&lt;=$F$27),D30+E30+F30+G30,0)+IF(AND(5&gt;=$D$27,5&lt;=$F$27),D30+E30+F30+G30,0)+IF(AND(6&gt;=$D$27,6&lt;=$F$27),D30+E30+F30+G30,0)+IF(AND(7&gt;=$D$27,7&lt;=$F$27),D30+E30+F30+G30,0)+IF(AND(8&gt;=$D$27,8&lt;=$F$27),D30+E30+F30+G30,0))/($F$27-$D$27+1))</f>
        <v>0.861168243521185</v>
      </c>
      <c r="I30" s="4" t="s">
        <v>334</v>
      </c>
      <c r="J30" s="4" t="s">
        <v>440</v>
      </c>
      <c r="K30" s="4"/>
      <c r="L30" s="4" t="s">
        <v>441</v>
      </c>
    </row>
    <row r="31" customFormat="false" ht="15" hidden="false" customHeight="false" outlineLevel="0" collapsed="false">
      <c r="A31" s="4" t="s">
        <v>340</v>
      </c>
      <c r="B31" s="4" t="s">
        <v>341</v>
      </c>
      <c r="C31" s="4" t="n">
        <f aca="false">Encounters!F61</f>
        <v>5</v>
      </c>
      <c r="D31" s="13" t="n">
        <f aca="false">$C$31/SUM($C$29:$C$31)</f>
        <v>0.227272727272727</v>
      </c>
      <c r="E31" s="13" t="n">
        <f aca="false">($C$29/SUM($C$29:$C$31))*($C$31/(SUM($C$29:$C$31)-$C$29))+($C$30/SUM($C$29:$C$31))*($C$31/(SUM($C$29:$C$31)-$C$30))</f>
        <v>0.287212787212787</v>
      </c>
      <c r="F31" s="13" t="n">
        <f aca="false">($C$29/SUM($C$29:$C$31))*($C$30/(SUM($C$29:$C$31)-$C$29))*($C$31/(SUM($C$29:$C$31)-$C$29-$C$30))+($C$30/SUM($C$29:$C$31))*($C$29/(SUM($C$29:$C$31)-$C$30))*($C$31/(SUM($C$29:$C$31)-$C$30-$C$29))</f>
        <v>0.485514485514486</v>
      </c>
      <c r="G31" s="13" t="n">
        <f aca="false">0</f>
        <v>0</v>
      </c>
      <c r="H31" s="11" t="n">
        <f aca="false">MIN(1,(IF(AND(0&gt;=$D$27,0&lt;=$F$27),0,0)+IF(AND(1&gt;=$D$27,1&lt;=$F$27),D31,0)+IF(AND(2&gt;=$D$27,2&lt;=$F$27),D31+E31,0)+IF(AND(3&gt;=$D$27,3&lt;=$F$27),D31+E31+F31,0)+IF(AND(4&gt;=$D$27,4&lt;=$F$27),D31+E31+F31+G31,0)+IF(AND(5&gt;=$D$27,5&lt;=$F$27),D31+E31+F31+G31,0)+IF(AND(6&gt;=$D$27,6&lt;=$F$27),D31+E31+F31+G31,0)+IF(AND(7&gt;=$D$27,7&lt;=$F$27),D31+E31+F31+G31,0)+IF(AND(8&gt;=$D$27,8&lt;=$F$27),D31+E31+F31+G31,0))/($F$27-$D$27+1))</f>
        <v>0.757242757242757</v>
      </c>
      <c r="I31" s="4" t="s">
        <v>334</v>
      </c>
      <c r="J31" s="4"/>
      <c r="K31" s="4" t="s">
        <v>342</v>
      </c>
      <c r="L31" s="4" t="s">
        <v>442</v>
      </c>
    </row>
    <row r="32" customFormat="false" ht="15" hidden="false" customHeight="false" outlineLevel="0" collapsed="false">
      <c r="B32" s="2" t="s">
        <v>420</v>
      </c>
      <c r="H32" s="14" t="n">
        <f aca="false">SUM(H29:H31)</f>
        <v>2.5</v>
      </c>
    </row>
    <row r="34" customFormat="false" ht="17.35" hidden="false" customHeight="false" outlineLevel="0" collapsed="false">
      <c r="A34" s="1" t="s">
        <v>346</v>
      </c>
      <c r="C34" s="3" t="s">
        <v>403</v>
      </c>
      <c r="D34" s="7" t="n">
        <v>2</v>
      </c>
      <c r="E34" s="3" t="s">
        <v>404</v>
      </c>
      <c r="F34" s="7" t="n">
        <v>3</v>
      </c>
      <c r="G34" s="2" t="s">
        <v>443</v>
      </c>
    </row>
    <row r="35" customFormat="false" ht="31.5" hidden="false" customHeight="true" outlineLevel="0" collapsed="false">
      <c r="A35" s="5" t="s">
        <v>83</v>
      </c>
      <c r="B35" s="5" t="s">
        <v>84</v>
      </c>
      <c r="C35" s="5" t="s">
        <v>406</v>
      </c>
      <c r="D35" s="5" t="s">
        <v>407</v>
      </c>
      <c r="E35" s="5" t="s">
        <v>408</v>
      </c>
      <c r="F35" s="5" t="s">
        <v>409</v>
      </c>
      <c r="G35" s="5" t="s">
        <v>410</v>
      </c>
      <c r="H35" s="5" t="s">
        <v>411</v>
      </c>
      <c r="I35" s="5" t="s">
        <v>412</v>
      </c>
      <c r="J35" s="5" t="s">
        <v>21</v>
      </c>
      <c r="K35" s="5" t="s">
        <v>98</v>
      </c>
      <c r="L35" s="5" t="s">
        <v>413</v>
      </c>
    </row>
    <row r="36" customFormat="false" ht="15" hidden="false" customHeight="false" outlineLevel="0" collapsed="false">
      <c r="A36" s="4" t="s">
        <v>344</v>
      </c>
      <c r="B36" s="4" t="s">
        <v>345</v>
      </c>
      <c r="C36" s="4" t="n">
        <f aca="false">Encounters!F62</f>
        <v>8</v>
      </c>
      <c r="D36" s="13" t="n">
        <f aca="false">$C$36/SUM($C$36:$C$39)</f>
        <v>0.296296296296296</v>
      </c>
      <c r="E36" s="13" t="n">
        <f aca="false">($C$37/SUM($C$36:$C$39))*($C$36/(SUM($C$36:$C$39)-$C$37))+($C$38/SUM($C$36:$C$39))*($C$36/(SUM($C$36:$C$39)-$C$38))+($C$39/SUM($C$36:$C$39))*($C$36/(SUM($C$36:$C$39)-$C$39))</f>
        <v>0.273015873015873</v>
      </c>
      <c r="F36" s="13" t="n">
        <f aca="false">($C$37/SUM($C$36:$C$39))*($C$38/(SUM($C$36:$C$39)-$C$37))*($C$36/(SUM($C$36:$C$39)-$C$37-$C$38))+($C$37/SUM($C$36:$C$39))*($C$39/(SUM($C$36:$C$39)-$C$37))*($C$36/(SUM($C$36:$C$39)-$C$37-$C$39))+($C$38/SUM($C$36:$C$39))*($C$37/(SUM($C$36:$C$39)-$C$38))*($C$36/(SUM($C$36:$C$39)-$C$38-$C$37))+($C$38/SUM($C$36:$C$39))*($C$39/(SUM($C$36:$C$39)-$C$38))*($C$36/(SUM($C$36:$C$39)-$C$38-$C$39))+($C$39/SUM($C$36:$C$39))*($C$37/(SUM($C$36:$C$39)-$C$39))*($C$36/(SUM($C$36:$C$39)-$C$39-$C$37))+($C$39/SUM($C$36:$C$39))*($C$38/(SUM($C$36:$C$39)-$C$39))*($C$36/(SUM($C$36:$C$39)-$C$39-$C$38))</f>
        <v>0.241269841269841</v>
      </c>
      <c r="G36" s="13" t="n">
        <f aca="false">($C$37/SUM($C$36:$C$39))*($C$38/(SUM($C$36:$C$39)-$C$37))*($C$39/(SUM($C$36:$C$39)-$C$37-$C$38))*($C$36/(SUM($C$36:$C$39)-$C$37-$C$38-$C$39))+($C$37/SUM($C$36:$C$39))*($C$39/(SUM($C$36:$C$39)-$C$37))*($C$38/(SUM($C$36:$C$39)-$C$37-$C$39))*($C$36/(SUM($C$36:$C$39)-$C$37-$C$39-$C$38))+($C$38/SUM($C$36:$C$39))*($C$37/(SUM($C$36:$C$39)-$C$38))*($C$39/(SUM($C$36:$C$39)-$C$38-$C$37))*($C$36/(SUM($C$36:$C$39)-$C$38-$C$37-$C$39))+($C$38/SUM($C$36:$C$39))*($C$39/(SUM($C$36:$C$39)-$C$38))*($C$37/(SUM($C$36:$C$39)-$C$38-$C$39))*($C$36/(SUM($C$36:$C$39)-$C$38-$C$39-$C$37))+($C$39/SUM($C$36:$C$39))*($C$37/(SUM($C$36:$C$39)-$C$39))*($C$38/(SUM($C$36:$C$39)-$C$39-$C$37))*($C$36/(SUM($C$36:$C$39)-$C$39-$C$37-$C$38))+($C$39/SUM($C$36:$C$39))*($C$38/(SUM($C$36:$C$39)-$C$39))*($C$37/(SUM($C$36:$C$39)-$C$39-$C$38))*($C$36/(SUM($C$36:$C$39)-$C$39-$C$38-$C$37))</f>
        <v>0.189417989417989</v>
      </c>
      <c r="H36" s="11" t="n">
        <f aca="false">MIN(1,(IF(AND(0&gt;=$D$34,0&lt;=$F$34),0,0)+IF(AND(1&gt;=$D$34,1&lt;=$F$34),D36,0)+IF(AND(2&gt;=$D$34,2&lt;=$F$34),D36+E36,0)+IF(AND(3&gt;=$D$34,3&lt;=$F$34),D36+E36+F36,0)+IF(AND(4&gt;=$D$34,4&lt;=$F$34),D36+E36+F36+G36,0)+IF(AND(5&gt;=$D$34,5&lt;=$F$34),D36+E36+F36+G36,0)+IF(AND(6&gt;=$D$34,6&lt;=$F$34),D36+E36+F36+G36,0)+IF(AND(7&gt;=$D$34,7&lt;=$F$34),D36+E36+F36+G36,0)+IF(AND(8&gt;=$D$34,8&lt;=$F$34),D36+E36+F36+G36,0))/($F$34-$D$34+1))</f>
        <v>0.68994708994709</v>
      </c>
      <c r="I36" s="4" t="s">
        <v>204</v>
      </c>
      <c r="J36" s="4"/>
      <c r="K36" s="4"/>
      <c r="L36" s="4" t="s">
        <v>444</v>
      </c>
    </row>
    <row r="37" customFormat="false" ht="15" hidden="false" customHeight="false" outlineLevel="0" collapsed="false">
      <c r="A37" s="4" t="s">
        <v>348</v>
      </c>
      <c r="B37" s="4" t="s">
        <v>349</v>
      </c>
      <c r="C37" s="4" t="n">
        <f aca="false">Encounters!F63</f>
        <v>7</v>
      </c>
      <c r="D37" s="13" t="n">
        <f aca="false">$C$37/SUM($C$36:$C$39)</f>
        <v>0.259259259259259</v>
      </c>
      <c r="E37" s="13" t="n">
        <f aca="false">($C$36/SUM($C$36:$C$39))*($C$37/(SUM($C$36:$C$39)-$C$36))+($C$38/SUM($C$36:$C$39))*($C$37/(SUM($C$36:$C$39)-$C$38))+($C$39/SUM($C$36:$C$39))*($C$37/(SUM($C$36:$C$39)-$C$39))</f>
        <v>0.257309941520468</v>
      </c>
      <c r="F37" s="13" t="n">
        <f aca="false">($C$36/SUM($C$36:$C$39))*($C$38/(SUM($C$36:$C$39)-$C$36))*($C$37/(SUM($C$36:$C$39)-$C$36-$C$38))+($C$36/SUM($C$36:$C$39))*($C$39/(SUM($C$36:$C$39)-$C$36))*($C$37/(SUM($C$36:$C$39)-$C$36-$C$39))+($C$38/SUM($C$36:$C$39))*($C$36/(SUM($C$36:$C$39)-$C$38))*($C$37/(SUM($C$36:$C$39)-$C$38-$C$36))+($C$38/SUM($C$36:$C$39))*($C$39/(SUM($C$36:$C$39)-$C$38))*($C$37/(SUM($C$36:$C$39)-$C$38-$C$39))+($C$39/SUM($C$36:$C$39))*($C$36/(SUM($C$36:$C$39)-$C$39))*($C$37/(SUM($C$36:$C$39)-$C$39-$C$36))+($C$39/SUM($C$36:$C$39))*($C$38/(SUM($C$36:$C$39)-$C$39))*($C$37/(SUM($C$36:$C$39)-$C$39-$C$38))</f>
        <v>0.25119208277103</v>
      </c>
      <c r="G37" s="13" t="n">
        <f aca="false">($C$36/SUM($C$36:$C$39))*($C$38/(SUM($C$36:$C$39)-$C$36))*($C$39/(SUM($C$36:$C$39)-$C$36-$C$38))*($C$37/(SUM($C$36:$C$39)-$C$36-$C$38-$C$39))+($C$36/SUM($C$36:$C$39))*($C$39/(SUM($C$36:$C$39)-$C$36))*($C$38/(SUM($C$36:$C$39)-$C$36-$C$39))*($C$37/(SUM($C$36:$C$39)-$C$36-$C$39-$C$38))+($C$38/SUM($C$36:$C$39))*($C$36/(SUM($C$36:$C$39)-$C$38))*($C$39/(SUM($C$36:$C$39)-$C$38-$C$36))*($C$37/(SUM($C$36:$C$39)-$C$38-$C$36-$C$39))+($C$38/SUM($C$36:$C$39))*($C$39/(SUM($C$36:$C$39)-$C$38))*($C$36/(SUM($C$36:$C$39)-$C$38-$C$39))*($C$37/(SUM($C$36:$C$39)-$C$38-$C$39-$C$36))+($C$39/SUM($C$36:$C$39))*($C$36/(SUM($C$36:$C$39)-$C$39))*($C$38/(SUM($C$36:$C$39)-$C$39-$C$36))*($C$37/(SUM($C$36:$C$39)-$C$39-$C$36-$C$38))+($C$39/SUM($C$36:$C$39))*($C$38/(SUM($C$36:$C$39)-$C$39))*($C$36/(SUM($C$36:$C$39)-$C$39-$C$38))*($C$37/(SUM($C$36:$C$39)-$C$39-$C$38-$C$36))</f>
        <v>0.232238716449243</v>
      </c>
      <c r="H37" s="11" t="n">
        <f aca="false">MIN(1,(IF(AND(0&gt;=$D$34,0&lt;=$F$34),0,0)+IF(AND(1&gt;=$D$34,1&lt;=$F$34),D37,0)+IF(AND(2&gt;=$D$34,2&lt;=$F$34),D37+E37,0)+IF(AND(3&gt;=$D$34,3&lt;=$F$34),D37+E37+F37,0)+IF(AND(4&gt;=$D$34,4&lt;=$F$34),D37+E37+F37+G37,0)+IF(AND(5&gt;=$D$34,5&lt;=$F$34),D37+E37+F37+G37,0)+IF(AND(6&gt;=$D$34,6&lt;=$F$34),D37+E37+F37+G37,0)+IF(AND(7&gt;=$D$34,7&lt;=$F$34),D37+E37+F37+G37,0)+IF(AND(8&gt;=$D$34,8&lt;=$F$34),D37+E37+F37+G37,0))/($F$34-$D$34+1))</f>
        <v>0.642165242165242</v>
      </c>
      <c r="I37" s="4" t="s">
        <v>183</v>
      </c>
      <c r="J37" s="4"/>
      <c r="K37" s="4" t="s">
        <v>348</v>
      </c>
      <c r="L37" s="4" t="s">
        <v>445</v>
      </c>
    </row>
    <row r="38" customFormat="false" ht="15" hidden="false" customHeight="false" outlineLevel="0" collapsed="false">
      <c r="A38" s="4" t="s">
        <v>351</v>
      </c>
      <c r="B38" s="4" t="s">
        <v>352</v>
      </c>
      <c r="C38" s="4" t="n">
        <f aca="false">Encounters!F64</f>
        <v>6</v>
      </c>
      <c r="D38" s="13" t="n">
        <f aca="false">$C$38/SUM($C$36:$C$39)</f>
        <v>0.222222222222222</v>
      </c>
      <c r="E38" s="13" t="n">
        <f aca="false">($C$36/SUM($C$36:$C$39))*($C$38/(SUM($C$36:$C$39)-$C$36))+($C$37/SUM($C$36:$C$39))*($C$38/(SUM($C$36:$C$39)-$C$37))+($C$39/SUM($C$36:$C$39))*($C$38/(SUM($C$36:$C$39)-$C$39))</f>
        <v>0.23483709273183</v>
      </c>
      <c r="F38" s="13" t="n">
        <f aca="false">($C$36/SUM($C$36:$C$39))*($C$37/(SUM($C$36:$C$39)-$C$36))*($C$38/(SUM($C$36:$C$39)-$C$36-$C$37))+($C$36/SUM($C$36:$C$39))*($C$39/(SUM($C$36:$C$39)-$C$36))*($C$38/(SUM($C$36:$C$39)-$C$36-$C$39))+($C$37/SUM($C$36:$C$39))*($C$36/(SUM($C$36:$C$39)-$C$37))*($C$38/(SUM($C$36:$C$39)-$C$37-$C$36))+($C$37/SUM($C$36:$C$39))*($C$39/(SUM($C$36:$C$39)-$C$37))*($C$38/(SUM($C$36:$C$39)-$C$37-$C$39))+($C$39/SUM($C$36:$C$39))*($C$36/(SUM($C$36:$C$39)-$C$39))*($C$38/(SUM($C$36:$C$39)-$C$39-$C$36))+($C$39/SUM($C$36:$C$39))*($C$37/(SUM($C$36:$C$39)-$C$39))*($C$38/(SUM($C$36:$C$39)-$C$39-$C$37))</f>
        <v>0.253769037979564</v>
      </c>
      <c r="G38" s="13" t="n">
        <f aca="false">($C$36/SUM($C$36:$C$39))*($C$37/(SUM($C$36:$C$39)-$C$36))*($C$39/(SUM($C$36:$C$39)-$C$36-$C$37))*($C$38/(SUM($C$36:$C$39)-$C$36-$C$37-$C$39))+($C$36/SUM($C$36:$C$39))*($C$39/(SUM($C$36:$C$39)-$C$36))*($C$37/(SUM($C$36:$C$39)-$C$36-$C$39))*($C$38/(SUM($C$36:$C$39)-$C$36-$C$39-$C$37))+($C$37/SUM($C$36:$C$39))*($C$36/(SUM($C$36:$C$39)-$C$37))*($C$39/(SUM($C$36:$C$39)-$C$37-$C$36))*($C$38/(SUM($C$36:$C$39)-$C$37-$C$36-$C$39))+($C$37/SUM($C$36:$C$39))*($C$39/(SUM($C$36:$C$39)-$C$37))*($C$36/(SUM($C$36:$C$39)-$C$37-$C$39))*($C$38/(SUM($C$36:$C$39)-$C$37-$C$39-$C$36))+($C$39/SUM($C$36:$C$39))*($C$36/(SUM($C$36:$C$39)-$C$39))*($C$37/(SUM($C$36:$C$39)-$C$39-$C$36))*($C$38/(SUM($C$36:$C$39)-$C$39-$C$36-$C$37))+($C$39/SUM($C$36:$C$39))*($C$37/(SUM($C$36:$C$39)-$C$39))*($C$36/(SUM($C$36:$C$39)-$C$39-$C$37))*($C$38/(SUM($C$36:$C$39)-$C$39-$C$37-$C$36))</f>
        <v>0.289171647066384</v>
      </c>
      <c r="H38" s="11" t="n">
        <f aca="false">MIN(1,(IF(AND(0&gt;=$D$34,0&lt;=$F$34),0,0)+IF(AND(1&gt;=$D$34,1&lt;=$F$34),D38,0)+IF(AND(2&gt;=$D$34,2&lt;=$F$34),D38+E38,0)+IF(AND(3&gt;=$D$34,3&lt;=$F$34),D38+E38+F38,0)+IF(AND(4&gt;=$D$34,4&lt;=$F$34),D38+E38+F38+G38,0)+IF(AND(5&gt;=$D$34,5&lt;=$F$34),D38+E38+F38+G38,0)+IF(AND(6&gt;=$D$34,6&lt;=$F$34),D38+E38+F38+G38,0)+IF(AND(7&gt;=$D$34,7&lt;=$F$34),D38+E38+F38+G38,0)+IF(AND(8&gt;=$D$34,8&lt;=$F$34),D38+E38+F38+G38,0))/($F$34-$D$34+1))</f>
        <v>0.583943833943834</v>
      </c>
      <c r="I38" s="4" t="s">
        <v>183</v>
      </c>
      <c r="J38" s="4"/>
      <c r="K38" s="4"/>
      <c r="L38" s="4" t="s">
        <v>446</v>
      </c>
    </row>
    <row r="39" customFormat="false" ht="15" hidden="false" customHeight="false" outlineLevel="0" collapsed="false">
      <c r="A39" s="4" t="s">
        <v>372</v>
      </c>
      <c r="B39" s="4" t="s">
        <v>373</v>
      </c>
      <c r="C39" s="4" t="n">
        <f aca="false">Encounters!F70</f>
        <v>6</v>
      </c>
      <c r="D39" s="13" t="n">
        <f aca="false">$C$39/SUM($C$36:$C$39)</f>
        <v>0.222222222222222</v>
      </c>
      <c r="E39" s="13" t="n">
        <f aca="false">($C$36/SUM($C$36:$C$39))*($C$39/(SUM($C$36:$C$39)-$C$36))+($C$37/SUM($C$36:$C$39))*($C$39/(SUM($C$36:$C$39)-$C$37))+($C$38/SUM($C$36:$C$39))*($C$39/(SUM($C$36:$C$39)-$C$38))</f>
        <v>0.23483709273183</v>
      </c>
      <c r="F39" s="13" t="n">
        <f aca="false">($C$36/SUM($C$36:$C$39))*($C$37/(SUM($C$36:$C$39)-$C$36))*($C$39/(SUM($C$36:$C$39)-$C$36-$C$37))+($C$36/SUM($C$36:$C$39))*($C$38/(SUM($C$36:$C$39)-$C$36))*($C$39/(SUM($C$36:$C$39)-$C$36-$C$38))+($C$37/SUM($C$36:$C$39))*($C$36/(SUM($C$36:$C$39)-$C$37))*($C$39/(SUM($C$36:$C$39)-$C$37-$C$36))+($C$37/SUM($C$36:$C$39))*($C$38/(SUM($C$36:$C$39)-$C$37))*($C$39/(SUM($C$36:$C$39)-$C$37-$C$38))+($C$38/SUM($C$36:$C$39))*($C$36/(SUM($C$36:$C$39)-$C$38))*($C$39/(SUM($C$36:$C$39)-$C$38-$C$36))+($C$38/SUM($C$36:$C$39))*($C$37/(SUM($C$36:$C$39)-$C$38))*($C$39/(SUM($C$36:$C$39)-$C$38-$C$37))</f>
        <v>0.253769037979564</v>
      </c>
      <c r="G39" s="13" t="n">
        <f aca="false">($C$36/SUM($C$36:$C$39))*($C$37/(SUM($C$36:$C$39)-$C$36))*($C$38/(SUM($C$36:$C$39)-$C$36-$C$37))*($C$39/(SUM($C$36:$C$39)-$C$36-$C$37-$C$38))+($C$36/SUM($C$36:$C$39))*($C$38/(SUM($C$36:$C$39)-$C$36))*($C$37/(SUM($C$36:$C$39)-$C$36-$C$38))*($C$39/(SUM($C$36:$C$39)-$C$36-$C$38-$C$37))+($C$37/SUM($C$36:$C$39))*($C$36/(SUM($C$36:$C$39)-$C$37))*($C$38/(SUM($C$36:$C$39)-$C$37-$C$36))*($C$39/(SUM($C$36:$C$39)-$C$37-$C$36-$C$38))+($C$37/SUM($C$36:$C$39))*($C$38/(SUM($C$36:$C$39)-$C$37))*($C$36/(SUM($C$36:$C$39)-$C$37-$C$38))*($C$39/(SUM($C$36:$C$39)-$C$37-$C$38-$C$36))+($C$38/SUM($C$36:$C$39))*($C$36/(SUM($C$36:$C$39)-$C$38))*($C$37/(SUM($C$36:$C$39)-$C$38-$C$36))*($C$39/(SUM($C$36:$C$39)-$C$38-$C$36-$C$37))+($C$38/SUM($C$36:$C$39))*($C$37/(SUM($C$36:$C$39)-$C$38))*($C$36/(SUM($C$36:$C$39)-$C$38-$C$37))*($C$39/(SUM($C$36:$C$39)-$C$38-$C$37-$C$36))</f>
        <v>0.289171647066384</v>
      </c>
      <c r="H39" s="11" t="n">
        <f aca="false">MIN(1,(IF(AND(0&gt;=$D$34,0&lt;=$F$34),0,0)+IF(AND(1&gt;=$D$34,1&lt;=$F$34),D39,0)+IF(AND(2&gt;=$D$34,2&lt;=$F$34),D39+E39,0)+IF(AND(3&gt;=$D$34,3&lt;=$F$34),D39+E39+F39,0)+IF(AND(4&gt;=$D$34,4&lt;=$F$34),D39+E39+F39+G39,0)+IF(AND(5&gt;=$D$34,5&lt;=$F$34),D39+E39+F39+G39,0)+IF(AND(6&gt;=$D$34,6&lt;=$F$34),D39+E39+F39+G39,0)+IF(AND(7&gt;=$D$34,7&lt;=$F$34),D39+E39+F39+G39,0)+IF(AND(8&gt;=$D$34,8&lt;=$F$34),D39+E39+F39+G39,0))/($F$34-$D$34+1))</f>
        <v>0.583943833943834</v>
      </c>
      <c r="I39" s="4" t="s">
        <v>106</v>
      </c>
      <c r="J39" s="4" t="s">
        <v>447</v>
      </c>
      <c r="K39" s="4"/>
      <c r="L39" s="4" t="s">
        <v>448</v>
      </c>
    </row>
    <row r="40" customFormat="false" ht="15" hidden="false" customHeight="false" outlineLevel="0" collapsed="false">
      <c r="B40" s="2" t="s">
        <v>420</v>
      </c>
      <c r="H40" s="14" t="n">
        <f aca="false">SUM(H36:H39)</f>
        <v>2.5</v>
      </c>
    </row>
    <row r="42" customFormat="false" ht="17.35" hidden="false" customHeight="false" outlineLevel="0" collapsed="false">
      <c r="A42" s="1" t="s">
        <v>356</v>
      </c>
      <c r="C42" s="3" t="s">
        <v>403</v>
      </c>
      <c r="D42" s="7" t="n">
        <v>2</v>
      </c>
      <c r="E42" s="3" t="s">
        <v>404</v>
      </c>
      <c r="F42" s="7" t="n">
        <v>3</v>
      </c>
      <c r="G42" s="2" t="s">
        <v>449</v>
      </c>
    </row>
    <row r="43" customFormat="false" ht="31.5" hidden="false" customHeight="true" outlineLevel="0" collapsed="false">
      <c r="A43" s="5" t="s">
        <v>83</v>
      </c>
      <c r="B43" s="5" t="s">
        <v>84</v>
      </c>
      <c r="C43" s="5" t="s">
        <v>406</v>
      </c>
      <c r="D43" s="5" t="s">
        <v>407</v>
      </c>
      <c r="E43" s="5" t="s">
        <v>408</v>
      </c>
      <c r="F43" s="5" t="s">
        <v>409</v>
      </c>
      <c r="G43" s="5" t="s">
        <v>410</v>
      </c>
      <c r="H43" s="5" t="s">
        <v>411</v>
      </c>
      <c r="I43" s="5" t="s">
        <v>412</v>
      </c>
      <c r="J43" s="5" t="s">
        <v>21</v>
      </c>
      <c r="K43" s="5" t="s">
        <v>98</v>
      </c>
      <c r="L43" s="5" t="s">
        <v>413</v>
      </c>
    </row>
    <row r="44" customFormat="false" ht="15" hidden="false" customHeight="false" outlineLevel="0" collapsed="false">
      <c r="A44" s="4" t="s">
        <v>354</v>
      </c>
      <c r="B44" s="4" t="s">
        <v>355</v>
      </c>
      <c r="C44" s="4" t="n">
        <f aca="false">Encounters!F65</f>
        <v>8</v>
      </c>
      <c r="D44" s="13" t="n">
        <f aca="false">$C$44/SUM($C$44:$C$47)</f>
        <v>0.266666666666667</v>
      </c>
      <c r="E44" s="13" t="n">
        <f aca="false">($C$45/SUM($C$44:$C$47))*($C$44/(SUM($C$44:$C$47)-$C$45))+($C$46/SUM($C$44:$C$47))*($C$44/(SUM($C$44:$C$47)-$C$46))+($C$47/SUM($C$44:$C$47))*($C$44/(SUM($C$44:$C$47)-$C$47))</f>
        <v>0.262111801242236</v>
      </c>
      <c r="F44" s="13" t="n">
        <f aca="false">($C$45/SUM($C$44:$C$47))*($C$46/(SUM($C$44:$C$47)-$C$45))*($C$44/(SUM($C$44:$C$47)-$C$45-$C$46))+($C$45/SUM($C$44:$C$47))*($C$47/(SUM($C$44:$C$47)-$C$45))*($C$44/(SUM($C$44:$C$47)-$C$45-$C$47))+($C$46/SUM($C$44:$C$47))*($C$45/(SUM($C$44:$C$47)-$C$46))*($C$44/(SUM($C$44:$C$47)-$C$46-$C$45))+($C$46/SUM($C$44:$C$47))*($C$47/(SUM($C$44:$C$47)-$C$46))*($C$44/(SUM($C$44:$C$47)-$C$46-$C$47))+($C$47/SUM($C$44:$C$47))*($C$45/(SUM($C$44:$C$47)-$C$47))*($C$44/(SUM($C$44:$C$47)-$C$47-$C$45))+($C$47/SUM($C$44:$C$47))*($C$46/(SUM($C$44:$C$47)-$C$47))*($C$44/(SUM($C$44:$C$47)-$C$47-$C$46))</f>
        <v>0.25112653757155</v>
      </c>
      <c r="G44" s="13" t="n">
        <f aca="false">($C$45/SUM($C$44:$C$47))*($C$46/(SUM($C$44:$C$47)-$C$45))*($C$47/(SUM($C$44:$C$47)-$C$45-$C$46))*($C$44/(SUM($C$44:$C$47)-$C$45-$C$46-$C$47))+($C$45/SUM($C$44:$C$47))*($C$47/(SUM($C$44:$C$47)-$C$45))*($C$46/(SUM($C$44:$C$47)-$C$45-$C$47))*($C$44/(SUM($C$44:$C$47)-$C$45-$C$47-$C$46))+($C$46/SUM($C$44:$C$47))*($C$45/(SUM($C$44:$C$47)-$C$46))*($C$47/(SUM($C$44:$C$47)-$C$46-$C$45))*($C$44/(SUM($C$44:$C$47)-$C$46-$C$45-$C$47))+($C$46/SUM($C$44:$C$47))*($C$47/(SUM($C$44:$C$47)-$C$46))*($C$45/(SUM($C$44:$C$47)-$C$46-$C$47))*($C$44/(SUM($C$44:$C$47)-$C$46-$C$47-$C$45))+($C$47/SUM($C$44:$C$47))*($C$45/(SUM($C$44:$C$47)-$C$47))*($C$46/(SUM($C$44:$C$47)-$C$47-$C$45))*($C$44/(SUM($C$44:$C$47)-$C$47-$C$45-$C$46))+($C$47/SUM($C$44:$C$47))*($C$46/(SUM($C$44:$C$47)-$C$47))*($C$45/(SUM($C$44:$C$47)-$C$47-$C$46))*($C$44/(SUM($C$44:$C$47)-$C$47-$C$46-$C$45))</f>
        <v>0.220094994519547</v>
      </c>
      <c r="H44" s="11" t="n">
        <f aca="false">MIN(1,(IF(AND(0&gt;=$D$42,0&lt;=$F$42),0,0)+IF(AND(1&gt;=$D$42,1&lt;=$F$42),D44,0)+IF(AND(2&gt;=$D$42,2&lt;=$F$42),D44+E44,0)+IF(AND(3&gt;=$D$42,3&lt;=$F$42),D44+E44+F44,0)+IF(AND(4&gt;=$D$42,4&lt;=$F$42),D44+E44+F44+G44,0)+IF(AND(5&gt;=$D$42,5&lt;=$F$42),D44+E44+F44+G44,0)+IF(AND(6&gt;=$D$42,6&lt;=$F$42),D44+E44+F44+G44,0)+IF(AND(7&gt;=$D$42,7&lt;=$F$42),D44+E44+F44+G44,0)+IF(AND(8&gt;=$D$42,8&lt;=$F$42),D44+E44+F44+G44,0))/($F$42-$D$42+1))</f>
        <v>0.654341736694678</v>
      </c>
      <c r="I44" s="4" t="s">
        <v>198</v>
      </c>
      <c r="J44" s="4" t="s">
        <v>450</v>
      </c>
      <c r="K44" s="4" t="s">
        <v>357</v>
      </c>
      <c r="L44" s="4" t="s">
        <v>451</v>
      </c>
    </row>
    <row r="45" customFormat="false" ht="15" hidden="false" customHeight="false" outlineLevel="0" collapsed="false">
      <c r="A45" s="4" t="s">
        <v>359</v>
      </c>
      <c r="B45" s="4" t="s">
        <v>360</v>
      </c>
      <c r="C45" s="4" t="n">
        <f aca="false">Encounters!F66</f>
        <v>7</v>
      </c>
      <c r="D45" s="13" t="n">
        <f aca="false">$C$45/SUM($C$44:$C$47)</f>
        <v>0.233333333333333</v>
      </c>
      <c r="E45" s="13" t="n">
        <f aca="false">($C$44/SUM($C$44:$C$47))*($C$45/(SUM($C$44:$C$47)-$C$44))+($C$46/SUM($C$44:$C$47))*($C$45/(SUM($C$44:$C$47)-$C$46))+($C$47/SUM($C$44:$C$47))*($C$45/(SUM($C$44:$C$47)-$C$47))</f>
        <v>0.243181818181818</v>
      </c>
      <c r="F45" s="13" t="n">
        <f aca="false">($C$44/SUM($C$44:$C$47))*($C$46/(SUM($C$44:$C$47)-$C$44))*($C$45/(SUM($C$44:$C$47)-$C$44-$C$46))+($C$44/SUM($C$44:$C$47))*($C$47/(SUM($C$44:$C$47)-$C$44))*($C$45/(SUM($C$44:$C$47)-$C$44-$C$47))+($C$46/SUM($C$44:$C$47))*($C$44/(SUM($C$44:$C$47)-$C$46))*($C$45/(SUM($C$44:$C$47)-$C$46-$C$44))+($C$46/SUM($C$44:$C$47))*($C$47/(SUM($C$44:$C$47)-$C$46))*($C$45/(SUM($C$44:$C$47)-$C$46-$C$47))+($C$47/SUM($C$44:$C$47))*($C$44/(SUM($C$44:$C$47)-$C$47))*($C$45/(SUM($C$44:$C$47)-$C$47-$C$44))+($C$47/SUM($C$44:$C$47))*($C$46/(SUM($C$44:$C$47)-$C$47))*($C$45/(SUM($C$44:$C$47)-$C$47-$C$46))</f>
        <v>0.256264568764569</v>
      </c>
      <c r="G45" s="13" t="n">
        <f aca="false">($C$44/SUM($C$44:$C$47))*($C$46/(SUM($C$44:$C$47)-$C$44))*($C$47/(SUM($C$44:$C$47)-$C$44-$C$46))*($C$45/(SUM($C$44:$C$47)-$C$44-$C$46-$C$47))+($C$44/SUM($C$44:$C$47))*($C$47/(SUM($C$44:$C$47)-$C$44))*($C$46/(SUM($C$44:$C$47)-$C$44-$C$47))*($C$45/(SUM($C$44:$C$47)-$C$44-$C$47-$C$46))+($C$46/SUM($C$44:$C$47))*($C$44/(SUM($C$44:$C$47)-$C$46))*($C$47/(SUM($C$44:$C$47)-$C$46-$C$44))*($C$45/(SUM($C$44:$C$47)-$C$46-$C$44-$C$47))+($C$46/SUM($C$44:$C$47))*($C$47/(SUM($C$44:$C$47)-$C$46))*($C$44/(SUM($C$44:$C$47)-$C$46-$C$47))*($C$45/(SUM($C$44:$C$47)-$C$46-$C$47-$C$44))+($C$47/SUM($C$44:$C$47))*($C$44/(SUM($C$44:$C$47)-$C$47))*($C$46/(SUM($C$44:$C$47)-$C$47-$C$44))*($C$45/(SUM($C$44:$C$47)-$C$47-$C$44-$C$46))+($C$47/SUM($C$44:$C$47))*($C$46/(SUM($C$44:$C$47)-$C$47))*($C$44/(SUM($C$44:$C$47)-$C$47-$C$46))*($C$45/(SUM($C$44:$C$47)-$C$47-$C$46-$C$44))</f>
        <v>0.26722027972028</v>
      </c>
      <c r="H45" s="11" t="n">
        <f aca="false">MIN(1,(IF(AND(0&gt;=$D$42,0&lt;=$F$42),0,0)+IF(AND(1&gt;=$D$42,1&lt;=$F$42),D45,0)+IF(AND(2&gt;=$D$42,2&lt;=$F$42),D45+E45,0)+IF(AND(3&gt;=$D$42,3&lt;=$F$42),D45+E45+F45,0)+IF(AND(4&gt;=$D$42,4&lt;=$F$42),D45+E45+F45+G45,0)+IF(AND(5&gt;=$D$42,5&lt;=$F$42),D45+E45+F45+G45,0)+IF(AND(6&gt;=$D$42,6&lt;=$F$42),D45+E45+F45+G45,0)+IF(AND(7&gt;=$D$42,7&lt;=$F$42),D45+E45+F45+G45,0)+IF(AND(8&gt;=$D$42,8&lt;=$F$42),D45+E45+F45+G45,0))/($F$42-$D$42+1))</f>
        <v>0.604647435897436</v>
      </c>
      <c r="I45" s="4" t="s">
        <v>198</v>
      </c>
      <c r="J45" s="4"/>
      <c r="K45" s="4"/>
      <c r="L45" s="4" t="s">
        <v>452</v>
      </c>
    </row>
    <row r="46" customFormat="false" ht="15" hidden="false" customHeight="false" outlineLevel="0" collapsed="false">
      <c r="A46" s="4" t="s">
        <v>362</v>
      </c>
      <c r="B46" s="4" t="s">
        <v>363</v>
      </c>
      <c r="C46" s="4" t="n">
        <f aca="false">Encounters!F67</f>
        <v>6</v>
      </c>
      <c r="D46" s="13" t="n">
        <f aca="false">$C$46/SUM($C$44:$C$47)</f>
        <v>0.2</v>
      </c>
      <c r="E46" s="13" t="n">
        <f aca="false">($C$44/SUM($C$44:$C$47))*($C$46/(SUM($C$44:$C$47)-$C$44))+($C$45/SUM($C$44:$C$47))*($C$46/(SUM($C$44:$C$47)-$C$45))+($C$47/SUM($C$44:$C$47))*($C$46/(SUM($C$44:$C$47)-$C$47))</f>
        <v>0.21931112365895</v>
      </c>
      <c r="F46" s="13" t="n">
        <f aca="false">($C$44/SUM($C$44:$C$47))*($C$45/(SUM($C$44:$C$47)-$C$44))*($C$46/(SUM($C$44:$C$47)-$C$44-$C$45))+($C$44/SUM($C$44:$C$47))*($C$47/(SUM($C$44:$C$47)-$C$44))*($C$46/(SUM($C$44:$C$47)-$C$44-$C$47))+($C$45/SUM($C$44:$C$47))*($C$44/(SUM($C$44:$C$47)-$C$45))*($C$46/(SUM($C$44:$C$47)-$C$45-$C$44))+($C$45/SUM($C$44:$C$47))*($C$47/(SUM($C$44:$C$47)-$C$45))*($C$46/(SUM($C$44:$C$47)-$C$45-$C$47))+($C$47/SUM($C$44:$C$47))*($C$44/(SUM($C$44:$C$47)-$C$47))*($C$46/(SUM($C$44:$C$47)-$C$47-$C$44))+($C$47/SUM($C$44:$C$47))*($C$45/(SUM($C$44:$C$47)-$C$47))*($C$46/(SUM($C$44:$C$47)-$C$47-$C$45))</f>
        <v>0.251487642791991</v>
      </c>
      <c r="G46" s="13" t="n">
        <f aca="false">($C$44/SUM($C$44:$C$47))*($C$45/(SUM($C$44:$C$47)-$C$44))*($C$47/(SUM($C$44:$C$47)-$C$44-$C$45))*($C$46/(SUM($C$44:$C$47)-$C$44-$C$45-$C$47))+($C$44/SUM($C$44:$C$47))*($C$47/(SUM($C$44:$C$47)-$C$44))*($C$45/(SUM($C$44:$C$47)-$C$44-$C$47))*($C$46/(SUM($C$44:$C$47)-$C$44-$C$47-$C$45))+($C$45/SUM($C$44:$C$47))*($C$44/(SUM($C$44:$C$47)-$C$45))*($C$47/(SUM($C$44:$C$47)-$C$45-$C$44))*($C$46/(SUM($C$44:$C$47)-$C$45-$C$44-$C$47))+($C$45/SUM($C$44:$C$47))*($C$47/(SUM($C$44:$C$47)-$C$45))*($C$44/(SUM($C$44:$C$47)-$C$45-$C$47))*($C$46/(SUM($C$44:$C$47)-$C$45-$C$47-$C$44))+($C$47/SUM($C$44:$C$47))*($C$44/(SUM($C$44:$C$47)-$C$47))*($C$45/(SUM($C$44:$C$47)-$C$47-$C$44))*($C$46/(SUM($C$44:$C$47)-$C$47-$C$44-$C$45))+($C$47/SUM($C$44:$C$47))*($C$45/(SUM($C$44:$C$47)-$C$47))*($C$44/(SUM($C$44:$C$47)-$C$47-$C$45))*($C$46/(SUM($C$44:$C$47)-$C$47-$C$45-$C$44))</f>
        <v>0.32920123354906</v>
      </c>
      <c r="H46" s="11" t="n">
        <f aca="false">MIN(1,(IF(AND(0&gt;=$D$42,0&lt;=$F$42),0,0)+IF(AND(1&gt;=$D$42,1&lt;=$F$42),D46,0)+IF(AND(2&gt;=$D$42,2&lt;=$F$42),D46+E46,0)+IF(AND(3&gt;=$D$42,3&lt;=$F$42),D46+E46+F46,0)+IF(AND(4&gt;=$D$42,4&lt;=$F$42),D46+E46+F46+G46,0)+IF(AND(5&gt;=$D$42,5&lt;=$F$42),D46+E46+F46+G46,0)+IF(AND(6&gt;=$D$42,6&lt;=$F$42),D46+E46+F46+G46,0)+IF(AND(7&gt;=$D$42,7&lt;=$F$42),D46+E46+F46+G46,0)+IF(AND(8&gt;=$D$42,8&lt;=$F$42),D46+E46+F46+G46,0))/($F$42-$D$42+1))</f>
        <v>0.545054945054945</v>
      </c>
      <c r="I46" s="4" t="s">
        <v>198</v>
      </c>
      <c r="J46" s="4" t="s">
        <v>453</v>
      </c>
      <c r="K46" s="4"/>
      <c r="L46" s="4" t="s">
        <v>454</v>
      </c>
    </row>
    <row r="47" customFormat="false" ht="15" hidden="false" customHeight="false" outlineLevel="0" collapsed="false">
      <c r="A47" s="4" t="s">
        <v>365</v>
      </c>
      <c r="B47" s="4" t="s">
        <v>366</v>
      </c>
      <c r="C47" s="4" t="n">
        <f aca="false">Encounters!F68</f>
        <v>9</v>
      </c>
      <c r="D47" s="13" t="n">
        <f aca="false">$C$47/SUM($C$44:$C$47)</f>
        <v>0.3</v>
      </c>
      <c r="E47" s="13" t="n">
        <f aca="false">($C$44/SUM($C$44:$C$47))*($C$47/(SUM($C$44:$C$47)-$C$44))+($C$45/SUM($C$44:$C$47))*($C$47/(SUM($C$44:$C$47)-$C$45))+($C$46/SUM($C$44:$C$47))*($C$47/(SUM($C$44:$C$47)-$C$46))</f>
        <v>0.275395256916996</v>
      </c>
      <c r="F47" s="13" t="n">
        <f aca="false">($C$44/SUM($C$44:$C$47))*($C$45/(SUM($C$44:$C$47)-$C$44))*($C$47/(SUM($C$44:$C$47)-$C$44-$C$45))+($C$44/SUM($C$44:$C$47))*($C$46/(SUM($C$44:$C$47)-$C$44))*($C$47/(SUM($C$44:$C$47)-$C$44-$C$46))+($C$45/SUM($C$44:$C$47))*($C$44/(SUM($C$44:$C$47)-$C$45))*($C$47/(SUM($C$44:$C$47)-$C$45-$C$44))+($C$45/SUM($C$44:$C$47))*($C$46/(SUM($C$44:$C$47)-$C$45))*($C$47/(SUM($C$44:$C$47)-$C$45-$C$46))+($C$46/SUM($C$44:$C$47))*($C$44/(SUM($C$44:$C$47)-$C$46))*($C$47/(SUM($C$44:$C$47)-$C$46-$C$44))+($C$46/SUM($C$44:$C$47))*($C$45/(SUM($C$44:$C$47)-$C$46))*($C$47/(SUM($C$44:$C$47)-$C$46-$C$45))</f>
        <v>0.24112125087189</v>
      </c>
      <c r="G47" s="13" t="n">
        <f aca="false">($C$44/SUM($C$44:$C$47))*($C$45/(SUM($C$44:$C$47)-$C$44))*($C$46/(SUM($C$44:$C$47)-$C$44-$C$45))*($C$47/(SUM($C$44:$C$47)-$C$44-$C$45-$C$46))+($C$44/SUM($C$44:$C$47))*($C$46/(SUM($C$44:$C$47)-$C$44))*($C$45/(SUM($C$44:$C$47)-$C$44-$C$46))*($C$47/(SUM($C$44:$C$47)-$C$44-$C$46-$C$45))+($C$45/SUM($C$44:$C$47))*($C$44/(SUM($C$44:$C$47)-$C$45))*($C$46/(SUM($C$44:$C$47)-$C$45-$C$44))*($C$47/(SUM($C$44:$C$47)-$C$45-$C$44-$C$46))+($C$45/SUM($C$44:$C$47))*($C$46/(SUM($C$44:$C$47)-$C$45))*($C$44/(SUM($C$44:$C$47)-$C$45-$C$46))*($C$47/(SUM($C$44:$C$47)-$C$45-$C$46-$C$44))+($C$46/SUM($C$44:$C$47))*($C$44/(SUM($C$44:$C$47)-$C$46))*($C$45/(SUM($C$44:$C$47)-$C$46-$C$44))*($C$47/(SUM($C$44:$C$47)-$C$46-$C$44-$C$45))+($C$46/SUM($C$44:$C$47))*($C$45/(SUM($C$44:$C$47)-$C$46))*($C$44/(SUM($C$44:$C$47)-$C$46-$C$45))*($C$47/(SUM($C$44:$C$47)-$C$46-$C$45-$C$44))</f>
        <v>0.183483492211114</v>
      </c>
      <c r="H47" s="11" t="n">
        <f aca="false">MIN(1,(IF(AND(0&gt;=$D$42,0&lt;=$F$42),0,0)+IF(AND(1&gt;=$D$42,1&lt;=$F$42),D47,0)+IF(AND(2&gt;=$D$42,2&lt;=$F$42),D47+E47,0)+IF(AND(3&gt;=$D$42,3&lt;=$F$42),D47+E47+F47,0)+IF(AND(4&gt;=$D$42,4&lt;=$F$42),D47+E47+F47+G47,0)+IF(AND(5&gt;=$D$42,5&lt;=$F$42),D47+E47+F47+G47,0)+IF(AND(6&gt;=$D$42,6&lt;=$F$42),D47+E47+F47+G47,0)+IF(AND(7&gt;=$D$42,7&lt;=$F$42),D47+E47+F47+G47,0)+IF(AND(8&gt;=$D$42,8&lt;=$F$42),D47+E47+F47+G47,0))/($F$42-$D$42+1))</f>
        <v>0.695955882352941</v>
      </c>
      <c r="I47" s="4" t="s">
        <v>106</v>
      </c>
      <c r="J47" s="4" t="s">
        <v>455</v>
      </c>
      <c r="K47" s="4" t="s">
        <v>367</v>
      </c>
      <c r="L47" s="4" t="s">
        <v>456</v>
      </c>
    </row>
    <row r="48" customFormat="false" ht="15" hidden="false" customHeight="false" outlineLevel="0" collapsed="false">
      <c r="B48" s="2" t="s">
        <v>420</v>
      </c>
      <c r="H48" s="14" t="n">
        <f aca="false">SUM(H44:H47)</f>
        <v>2.5</v>
      </c>
    </row>
    <row r="50" customFormat="false" ht="15" hidden="false" customHeight="false" outlineLevel="0" collapsed="false">
      <c r="A50" s="2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458</v>
      </c>
    </row>
    <row r="2" customFormat="false" ht="15" hidden="false" customHeight="false" outlineLevel="0" collapsed="false">
      <c r="A2" s="2" t="s">
        <v>459</v>
      </c>
    </row>
    <row r="4" customFormat="false" ht="31.5" hidden="false" customHeight="true" outlineLevel="0" collapsed="false">
      <c r="A4" s="5" t="s">
        <v>83</v>
      </c>
      <c r="B4" s="5" t="s">
        <v>84</v>
      </c>
      <c r="C4" s="5" t="s">
        <v>205</v>
      </c>
      <c r="D4" s="5" t="s">
        <v>176</v>
      </c>
      <c r="E4" s="5" t="s">
        <v>460</v>
      </c>
      <c r="F4" s="5" t="s">
        <v>461</v>
      </c>
    </row>
    <row r="5" customFormat="false" ht="15" hidden="false" customHeight="false" outlineLevel="0" collapsed="false">
      <c r="A5" s="4" t="s">
        <v>102</v>
      </c>
      <c r="B5" s="4" t="s">
        <v>103</v>
      </c>
      <c r="C5" s="15" t="n">
        <v>1.2</v>
      </c>
      <c r="D5" s="15" t="n">
        <v>0.6</v>
      </c>
      <c r="E5" s="15" t="n">
        <v>3</v>
      </c>
      <c r="F5" s="15" t="n">
        <v>1</v>
      </c>
    </row>
    <row r="6" customFormat="false" ht="15" hidden="false" customHeight="false" outlineLevel="0" collapsed="false">
      <c r="A6" s="4" t="s">
        <v>112</v>
      </c>
      <c r="B6" s="4" t="s">
        <v>113</v>
      </c>
      <c r="C6" s="15" t="n">
        <v>0.75</v>
      </c>
      <c r="D6" s="15" t="n">
        <v>1.6</v>
      </c>
      <c r="E6" s="15" t="n">
        <v>1.3</v>
      </c>
      <c r="F6" s="15" t="n">
        <v>0</v>
      </c>
    </row>
    <row r="7" customFormat="false" ht="15" hidden="false" customHeight="false" outlineLevel="0" collapsed="false">
      <c r="A7" s="4" t="s">
        <v>120</v>
      </c>
      <c r="B7" s="4" t="s">
        <v>121</v>
      </c>
      <c r="C7" s="15" t="n">
        <v>0</v>
      </c>
      <c r="D7" s="15" t="n">
        <v>1.5</v>
      </c>
      <c r="E7" s="15" t="n">
        <v>0</v>
      </c>
      <c r="F7" s="15" t="n">
        <v>1.4</v>
      </c>
    </row>
    <row r="8" customFormat="false" ht="15" hidden="false" customHeight="false" outlineLevel="0" collapsed="false">
      <c r="A8" s="4" t="s">
        <v>127</v>
      </c>
      <c r="B8" s="4" t="s">
        <v>128</v>
      </c>
      <c r="C8" s="15" t="n">
        <v>1</v>
      </c>
      <c r="D8" s="15" t="n">
        <v>0.7</v>
      </c>
      <c r="E8" s="15" t="n">
        <v>0.6</v>
      </c>
      <c r="F8" s="15" t="n">
        <v>2.2</v>
      </c>
    </row>
    <row r="9" customFormat="false" ht="15" hidden="false" customHeight="false" outlineLevel="0" collapsed="false">
      <c r="A9" s="4" t="s">
        <v>132</v>
      </c>
      <c r="B9" s="4" t="s">
        <v>133</v>
      </c>
      <c r="C9" s="15" t="n">
        <v>1</v>
      </c>
      <c r="D9" s="15" t="n">
        <v>1</v>
      </c>
      <c r="E9" s="15" t="n">
        <v>1</v>
      </c>
      <c r="F9" s="15" t="n">
        <v>1</v>
      </c>
    </row>
    <row r="10" customFormat="false" ht="15" hidden="false" customHeight="false" outlineLevel="0" collapsed="false">
      <c r="A10" s="4" t="s">
        <v>136</v>
      </c>
      <c r="B10" s="4" t="s">
        <v>137</v>
      </c>
      <c r="C10" s="15" t="n">
        <v>1</v>
      </c>
      <c r="D10" s="15" t="n">
        <v>1</v>
      </c>
      <c r="E10" s="15" t="n">
        <v>1</v>
      </c>
      <c r="F10" s="15" t="n">
        <v>1</v>
      </c>
    </row>
    <row r="11" customFormat="false" ht="15" hidden="false" customHeight="false" outlineLevel="0" collapsed="false">
      <c r="A11" s="4" t="s">
        <v>143</v>
      </c>
      <c r="B11" s="4" t="s">
        <v>144</v>
      </c>
      <c r="C11" s="15" t="n">
        <v>1</v>
      </c>
      <c r="D11" s="15" t="n">
        <v>1</v>
      </c>
      <c r="E11" s="15" t="n">
        <v>1</v>
      </c>
      <c r="F11" s="15" t="n">
        <v>1</v>
      </c>
    </row>
    <row r="12" customFormat="false" ht="15" hidden="false" customHeight="false" outlineLevel="0" collapsed="false">
      <c r="A12" s="4" t="s">
        <v>147</v>
      </c>
      <c r="B12" s="4" t="s">
        <v>148</v>
      </c>
      <c r="C12" s="15" t="n">
        <v>1</v>
      </c>
      <c r="D12" s="15" t="n">
        <v>1</v>
      </c>
      <c r="E12" s="15" t="n">
        <v>1</v>
      </c>
      <c r="F12" s="15" t="n">
        <v>1</v>
      </c>
    </row>
    <row r="13" customFormat="false" ht="15" hidden="false" customHeight="false" outlineLevel="0" collapsed="false">
      <c r="A13" s="4" t="s">
        <v>153</v>
      </c>
      <c r="B13" s="4" t="s">
        <v>154</v>
      </c>
      <c r="C13" s="15" t="n">
        <v>1</v>
      </c>
      <c r="D13" s="15" t="n">
        <v>1</v>
      </c>
      <c r="E13" s="15" t="n">
        <v>1</v>
      </c>
      <c r="F13" s="15" t="n">
        <v>1</v>
      </c>
    </row>
    <row r="14" customFormat="false" ht="15" hidden="false" customHeight="false" outlineLevel="0" collapsed="false">
      <c r="A14" s="4" t="s">
        <v>158</v>
      </c>
      <c r="B14" s="4" t="s">
        <v>159</v>
      </c>
      <c r="C14" s="15" t="n">
        <v>0.7</v>
      </c>
      <c r="D14" s="15" t="n">
        <v>2.5</v>
      </c>
      <c r="E14" s="15" t="n">
        <v>1.3</v>
      </c>
      <c r="F14" s="15" t="n">
        <v>0.4</v>
      </c>
    </row>
    <row r="15" customFormat="false" ht="15" hidden="false" customHeight="false" outlineLevel="0" collapsed="false">
      <c r="A15" s="4" t="s">
        <v>162</v>
      </c>
      <c r="B15" s="4" t="s">
        <v>163</v>
      </c>
      <c r="C15" s="15" t="n">
        <v>1</v>
      </c>
      <c r="D15" s="15" t="n">
        <v>2</v>
      </c>
      <c r="E15" s="15" t="n">
        <v>1</v>
      </c>
      <c r="F15" s="15" t="n">
        <v>1</v>
      </c>
    </row>
    <row r="16" customFormat="false" ht="15" hidden="false" customHeight="false" outlineLevel="0" collapsed="false">
      <c r="A16" s="4" t="s">
        <v>170</v>
      </c>
      <c r="B16" s="4" t="s">
        <v>171</v>
      </c>
      <c r="C16" s="15" t="n">
        <v>1</v>
      </c>
      <c r="D16" s="15" t="n">
        <v>1</v>
      </c>
      <c r="E16" s="15" t="n">
        <v>1</v>
      </c>
      <c r="F16" s="15" t="n">
        <v>1</v>
      </c>
    </row>
    <row r="17" customFormat="false" ht="15" hidden="false" customHeight="false" outlineLevel="0" collapsed="false">
      <c r="A17" s="4" t="s">
        <v>173</v>
      </c>
      <c r="B17" s="4" t="s">
        <v>174</v>
      </c>
      <c r="C17" s="15" t="n">
        <v>0</v>
      </c>
      <c r="D17" s="15" t="n">
        <v>2</v>
      </c>
      <c r="E17" s="15" t="n">
        <v>0</v>
      </c>
      <c r="F17" s="15" t="n">
        <v>0</v>
      </c>
    </row>
    <row r="18" customFormat="false" ht="15" hidden="false" customHeight="false" outlineLevel="0" collapsed="false">
      <c r="A18" s="4" t="s">
        <v>180</v>
      </c>
      <c r="B18" s="4" t="s">
        <v>181</v>
      </c>
      <c r="C18" s="15" t="n">
        <v>1</v>
      </c>
      <c r="D18" s="15" t="n">
        <v>1</v>
      </c>
      <c r="E18" s="15" t="n">
        <v>1</v>
      </c>
      <c r="F18" s="15" t="n">
        <v>2.2</v>
      </c>
    </row>
    <row r="19" customFormat="false" ht="15" hidden="false" customHeight="false" outlineLevel="0" collapsed="false">
      <c r="A19" s="4" t="s">
        <v>187</v>
      </c>
      <c r="B19" s="4" t="s">
        <v>188</v>
      </c>
      <c r="C19" s="15" t="n">
        <v>0</v>
      </c>
      <c r="D19" s="15" t="n">
        <v>1</v>
      </c>
      <c r="E19" s="15" t="n">
        <v>0</v>
      </c>
      <c r="F19" s="15" t="n">
        <v>1</v>
      </c>
    </row>
    <row r="20" customFormat="false" ht="15" hidden="false" customHeight="false" outlineLevel="0" collapsed="false">
      <c r="A20" s="4" t="s">
        <v>190</v>
      </c>
      <c r="B20" s="4" t="s">
        <v>191</v>
      </c>
      <c r="C20" s="15" t="n">
        <v>1</v>
      </c>
      <c r="D20" s="15" t="n">
        <v>1</v>
      </c>
      <c r="E20" s="15" t="n">
        <v>1</v>
      </c>
      <c r="F20" s="15" t="n">
        <v>1</v>
      </c>
    </row>
    <row r="21" customFormat="false" ht="15" hidden="false" customHeight="false" outlineLevel="0" collapsed="false">
      <c r="A21" s="4" t="s">
        <v>193</v>
      </c>
      <c r="B21" s="4" t="s">
        <v>194</v>
      </c>
      <c r="C21" s="15" t="n">
        <v>1</v>
      </c>
      <c r="D21" s="15" t="n">
        <v>1</v>
      </c>
      <c r="E21" s="15" t="n">
        <v>1</v>
      </c>
      <c r="F21" s="15" t="n">
        <v>3</v>
      </c>
    </row>
    <row r="22" customFormat="false" ht="15" hidden="false" customHeight="false" outlineLevel="0" collapsed="false">
      <c r="A22" s="4" t="s">
        <v>195</v>
      </c>
      <c r="B22" s="4" t="s">
        <v>196</v>
      </c>
      <c r="C22" s="15" t="n">
        <v>1.5</v>
      </c>
      <c r="D22" s="15" t="n">
        <v>1</v>
      </c>
      <c r="E22" s="15" t="n">
        <v>1</v>
      </c>
      <c r="F22" s="15" t="n">
        <v>1</v>
      </c>
    </row>
    <row r="23" customFormat="false" ht="15" hidden="false" customHeight="false" outlineLevel="0" collapsed="false">
      <c r="A23" s="4" t="s">
        <v>201</v>
      </c>
      <c r="B23" s="4" t="s">
        <v>202</v>
      </c>
      <c r="C23" s="15" t="n">
        <v>1</v>
      </c>
      <c r="D23" s="15" t="n">
        <v>0</v>
      </c>
      <c r="E23" s="15" t="n">
        <v>0</v>
      </c>
      <c r="F23" s="15" t="n">
        <v>0</v>
      </c>
    </row>
    <row r="24" customFormat="false" ht="15" hidden="false" customHeight="false" outlineLevel="0" collapsed="false">
      <c r="A24" s="4" t="s">
        <v>207</v>
      </c>
      <c r="B24" s="4" t="s">
        <v>208</v>
      </c>
      <c r="C24" s="15" t="n">
        <v>1</v>
      </c>
      <c r="D24" s="15" t="n">
        <v>1</v>
      </c>
      <c r="E24" s="15" t="n">
        <v>1</v>
      </c>
      <c r="F24" s="15" t="n">
        <v>1.3</v>
      </c>
    </row>
    <row r="25" customFormat="false" ht="15" hidden="false" customHeight="false" outlineLevel="0" collapsed="false">
      <c r="A25" s="4" t="s">
        <v>213</v>
      </c>
      <c r="B25" s="4" t="s">
        <v>214</v>
      </c>
      <c r="C25" s="15" t="n">
        <v>1</v>
      </c>
      <c r="D25" s="15" t="n">
        <v>0.9</v>
      </c>
      <c r="E25" s="15" t="n">
        <v>1</v>
      </c>
      <c r="F25" s="15" t="n">
        <v>1.25</v>
      </c>
    </row>
    <row r="26" customFormat="false" ht="15" hidden="false" customHeight="false" outlineLevel="0" collapsed="false">
      <c r="A26" s="4" t="s">
        <v>217</v>
      </c>
      <c r="B26" s="4" t="s">
        <v>218</v>
      </c>
      <c r="C26" s="15" t="n">
        <v>1</v>
      </c>
      <c r="D26" s="15" t="n">
        <v>1</v>
      </c>
      <c r="E26" s="15" t="n">
        <v>1</v>
      </c>
      <c r="F26" s="15" t="n">
        <v>1</v>
      </c>
    </row>
    <row r="27" customFormat="false" ht="15" hidden="false" customHeight="false" outlineLevel="0" collapsed="false">
      <c r="A27" s="4" t="s">
        <v>221</v>
      </c>
      <c r="B27" s="4" t="s">
        <v>222</v>
      </c>
      <c r="C27" s="15" t="n">
        <v>1</v>
      </c>
      <c r="D27" s="15" t="n">
        <v>1</v>
      </c>
      <c r="E27" s="15" t="n">
        <v>1</v>
      </c>
      <c r="F27" s="15" t="n">
        <v>1</v>
      </c>
    </row>
    <row r="28" customFormat="false" ht="15" hidden="false" customHeight="false" outlineLevel="0" collapsed="false">
      <c r="A28" s="4" t="s">
        <v>225</v>
      </c>
      <c r="B28" s="4" t="s">
        <v>226</v>
      </c>
      <c r="C28" s="15" t="n">
        <v>1</v>
      </c>
      <c r="D28" s="15" t="n">
        <v>1</v>
      </c>
      <c r="E28" s="15" t="n">
        <v>1</v>
      </c>
      <c r="F28" s="15" t="n">
        <v>1</v>
      </c>
    </row>
    <row r="29" customFormat="false" ht="15" hidden="false" customHeight="false" outlineLevel="0" collapsed="false">
      <c r="A29" s="4" t="s">
        <v>229</v>
      </c>
      <c r="B29" s="4" t="s">
        <v>230</v>
      </c>
      <c r="C29" s="15" t="n">
        <v>1</v>
      </c>
      <c r="D29" s="15" t="n">
        <v>1</v>
      </c>
      <c r="E29" s="15" t="n">
        <v>1</v>
      </c>
      <c r="F29" s="15" t="n">
        <v>1</v>
      </c>
    </row>
    <row r="30" customFormat="false" ht="15" hidden="false" customHeight="false" outlineLevel="0" collapsed="false">
      <c r="A30" s="4" t="s">
        <v>232</v>
      </c>
      <c r="B30" s="4" t="s">
        <v>233</v>
      </c>
      <c r="C30" s="15" t="n">
        <v>1</v>
      </c>
      <c r="D30" s="15" t="n">
        <v>1</v>
      </c>
      <c r="E30" s="15" t="n">
        <v>1</v>
      </c>
      <c r="F30" s="15" t="n">
        <v>1</v>
      </c>
    </row>
    <row r="31" customFormat="false" ht="15" hidden="false" customHeight="false" outlineLevel="0" collapsed="false">
      <c r="A31" s="4" t="s">
        <v>234</v>
      </c>
      <c r="B31" s="4" t="s">
        <v>235</v>
      </c>
      <c r="C31" s="15" t="n">
        <v>1</v>
      </c>
      <c r="D31" s="15" t="n">
        <v>1</v>
      </c>
      <c r="E31" s="15" t="n">
        <v>1</v>
      </c>
      <c r="F31" s="15" t="n">
        <v>1</v>
      </c>
    </row>
    <row r="32" customFormat="false" ht="15" hidden="false" customHeight="false" outlineLevel="0" collapsed="false">
      <c r="A32" s="4" t="s">
        <v>238</v>
      </c>
      <c r="B32" s="4" t="s">
        <v>239</v>
      </c>
      <c r="C32" s="15" t="n">
        <v>1</v>
      </c>
      <c r="D32" s="15" t="n">
        <v>1</v>
      </c>
      <c r="E32" s="15" t="n">
        <v>1</v>
      </c>
      <c r="F32" s="15" t="n">
        <v>1</v>
      </c>
    </row>
    <row r="33" customFormat="false" ht="15" hidden="false" customHeight="false" outlineLevel="0" collapsed="false">
      <c r="A33" s="4" t="s">
        <v>240</v>
      </c>
      <c r="B33" s="4" t="s">
        <v>241</v>
      </c>
      <c r="C33" s="15" t="n">
        <v>1</v>
      </c>
      <c r="D33" s="15" t="n">
        <v>1</v>
      </c>
      <c r="E33" s="15" t="n">
        <v>1</v>
      </c>
      <c r="F33" s="15" t="n">
        <v>1</v>
      </c>
    </row>
    <row r="34" customFormat="false" ht="15" hidden="false" customHeight="false" outlineLevel="0" collapsed="false">
      <c r="A34" s="4" t="s">
        <v>244</v>
      </c>
      <c r="B34" s="4" t="s">
        <v>245</v>
      </c>
      <c r="C34" s="15" t="n">
        <v>1</v>
      </c>
      <c r="D34" s="15" t="n">
        <v>1</v>
      </c>
      <c r="E34" s="15" t="n">
        <v>1</v>
      </c>
      <c r="F34" s="15" t="n">
        <v>1</v>
      </c>
    </row>
    <row r="35" customFormat="false" ht="15" hidden="false" customHeight="false" outlineLevel="0" collapsed="false">
      <c r="A35" s="4" t="s">
        <v>247</v>
      </c>
      <c r="B35" s="4" t="s">
        <v>248</v>
      </c>
      <c r="C35" s="15" t="n">
        <v>1</v>
      </c>
      <c r="D35" s="15" t="n">
        <v>1</v>
      </c>
      <c r="E35" s="15" t="n">
        <v>1</v>
      </c>
      <c r="F35" s="15" t="n">
        <v>1</v>
      </c>
    </row>
    <row r="36" customFormat="false" ht="15" hidden="false" customHeight="false" outlineLevel="0" collapsed="false">
      <c r="A36" s="4" t="s">
        <v>251</v>
      </c>
      <c r="B36" s="4" t="s">
        <v>252</v>
      </c>
      <c r="C36" s="15" t="n">
        <v>1</v>
      </c>
      <c r="D36" s="15" t="n">
        <v>1</v>
      </c>
      <c r="E36" s="15" t="n">
        <v>1</v>
      </c>
      <c r="F36" s="15" t="n">
        <v>1</v>
      </c>
    </row>
    <row r="37" customFormat="false" ht="15" hidden="false" customHeight="false" outlineLevel="0" collapsed="false">
      <c r="A37" s="4" t="s">
        <v>254</v>
      </c>
      <c r="B37" s="4" t="s">
        <v>255</v>
      </c>
      <c r="C37" s="15" t="n">
        <v>1</v>
      </c>
      <c r="D37" s="15" t="n">
        <v>1</v>
      </c>
      <c r="E37" s="15" t="n">
        <v>1</v>
      </c>
      <c r="F37" s="15" t="n">
        <v>1</v>
      </c>
    </row>
    <row r="38" customFormat="false" ht="15" hidden="false" customHeight="false" outlineLevel="0" collapsed="false">
      <c r="A38" s="4" t="s">
        <v>258</v>
      </c>
      <c r="B38" s="4" t="s">
        <v>259</v>
      </c>
      <c r="C38" s="15" t="n">
        <v>1</v>
      </c>
      <c r="D38" s="15" t="n">
        <v>1</v>
      </c>
      <c r="E38" s="15" t="n">
        <v>1</v>
      </c>
      <c r="F38" s="15" t="n">
        <v>1</v>
      </c>
    </row>
    <row r="39" customFormat="false" ht="15" hidden="false" customHeight="false" outlineLevel="0" collapsed="false">
      <c r="A39" s="4" t="s">
        <v>260</v>
      </c>
      <c r="B39" s="4" t="s">
        <v>261</v>
      </c>
      <c r="C39" s="15" t="n">
        <v>1</v>
      </c>
      <c r="D39" s="15" t="n">
        <v>1</v>
      </c>
      <c r="E39" s="15" t="n">
        <v>1</v>
      </c>
      <c r="F39" s="15" t="n">
        <v>1</v>
      </c>
    </row>
    <row r="40" customFormat="false" ht="15" hidden="false" customHeight="false" outlineLevel="0" collapsed="false">
      <c r="A40" s="4" t="s">
        <v>264</v>
      </c>
      <c r="B40" s="4" t="s">
        <v>154</v>
      </c>
      <c r="C40" s="15" t="n">
        <v>1</v>
      </c>
      <c r="D40" s="15" t="n">
        <v>1</v>
      </c>
      <c r="E40" s="15" t="n">
        <v>1</v>
      </c>
      <c r="F40" s="15" t="n">
        <v>1</v>
      </c>
    </row>
    <row r="41" customFormat="false" ht="15" hidden="false" customHeight="false" outlineLevel="0" collapsed="false">
      <c r="A41" s="4" t="s">
        <v>265</v>
      </c>
      <c r="B41" s="4" t="s">
        <v>266</v>
      </c>
      <c r="C41" s="15" t="n">
        <v>1</v>
      </c>
      <c r="D41" s="15" t="n">
        <v>1</v>
      </c>
      <c r="E41" s="15" t="n">
        <v>1</v>
      </c>
      <c r="F41" s="15" t="n">
        <v>1</v>
      </c>
    </row>
    <row r="42" customFormat="false" ht="15" hidden="false" customHeight="false" outlineLevel="0" collapsed="false">
      <c r="A42" s="4" t="s">
        <v>269</v>
      </c>
      <c r="B42" s="4" t="s">
        <v>270</v>
      </c>
      <c r="C42" s="15" t="n">
        <v>1</v>
      </c>
      <c r="D42" s="15" t="n">
        <v>1</v>
      </c>
      <c r="E42" s="15" t="n">
        <v>1</v>
      </c>
      <c r="F42" s="15" t="n">
        <v>1</v>
      </c>
    </row>
    <row r="43" customFormat="false" ht="15" hidden="false" customHeight="false" outlineLevel="0" collapsed="false">
      <c r="A43" s="4" t="s">
        <v>272</v>
      </c>
      <c r="B43" s="4" t="s">
        <v>273</v>
      </c>
      <c r="C43" s="15" t="n">
        <v>1</v>
      </c>
      <c r="D43" s="15" t="n">
        <v>1</v>
      </c>
      <c r="E43" s="15" t="n">
        <v>1</v>
      </c>
      <c r="F43" s="15" t="n">
        <v>1</v>
      </c>
    </row>
    <row r="44" customFormat="false" ht="15" hidden="false" customHeight="false" outlineLevel="0" collapsed="false">
      <c r="A44" s="4" t="s">
        <v>276</v>
      </c>
      <c r="B44" s="4" t="s">
        <v>277</v>
      </c>
      <c r="C44" s="15" t="n">
        <v>1</v>
      </c>
      <c r="D44" s="15" t="n">
        <v>1</v>
      </c>
      <c r="E44" s="15" t="n">
        <v>1</v>
      </c>
      <c r="F44" s="15" t="n">
        <v>1</v>
      </c>
    </row>
    <row r="45" customFormat="false" ht="15" hidden="false" customHeight="false" outlineLevel="0" collapsed="false">
      <c r="A45" s="4" t="s">
        <v>279</v>
      </c>
      <c r="B45" s="4" t="s">
        <v>280</v>
      </c>
      <c r="C45" s="15" t="n">
        <v>1</v>
      </c>
      <c r="D45" s="15" t="n">
        <v>1</v>
      </c>
      <c r="E45" s="15" t="n">
        <v>1</v>
      </c>
      <c r="F45" s="15" t="n">
        <v>1</v>
      </c>
    </row>
    <row r="46" customFormat="false" ht="15" hidden="false" customHeight="false" outlineLevel="0" collapsed="false">
      <c r="A46" s="4" t="s">
        <v>283</v>
      </c>
      <c r="B46" s="4" t="s">
        <v>284</v>
      </c>
      <c r="C46" s="15" t="n">
        <v>1</v>
      </c>
      <c r="D46" s="15" t="n">
        <v>1</v>
      </c>
      <c r="E46" s="15" t="n">
        <v>1</v>
      </c>
      <c r="F46" s="15" t="n">
        <v>1</v>
      </c>
    </row>
    <row r="47" customFormat="false" ht="15" hidden="false" customHeight="false" outlineLevel="0" collapsed="false">
      <c r="A47" s="4" t="s">
        <v>287</v>
      </c>
      <c r="B47" s="4" t="s">
        <v>288</v>
      </c>
      <c r="C47" s="15" t="n">
        <v>1</v>
      </c>
      <c r="D47" s="15" t="n">
        <v>1</v>
      </c>
      <c r="E47" s="15" t="n">
        <v>1</v>
      </c>
      <c r="F47" s="15" t="n">
        <v>1</v>
      </c>
    </row>
    <row r="48" customFormat="false" ht="15" hidden="false" customHeight="false" outlineLevel="0" collapsed="false">
      <c r="A48" s="4" t="s">
        <v>290</v>
      </c>
      <c r="B48" s="4" t="s">
        <v>291</v>
      </c>
      <c r="C48" s="15" t="n">
        <v>1</v>
      </c>
      <c r="D48" s="15" t="n">
        <v>1</v>
      </c>
      <c r="E48" s="15" t="n">
        <v>1</v>
      </c>
      <c r="F48" s="1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2" t="s">
        <v>463</v>
      </c>
    </row>
    <row r="4" customFormat="false" ht="31.5" hidden="false" customHeight="true" outlineLevel="0" collapsed="false">
      <c r="A4" s="5" t="s">
        <v>464</v>
      </c>
      <c r="B4" s="5" t="s">
        <v>84</v>
      </c>
      <c r="C4" s="5" t="s">
        <v>465</v>
      </c>
      <c r="D4" s="5" t="s">
        <v>466</v>
      </c>
      <c r="E4" s="5" t="s">
        <v>467</v>
      </c>
      <c r="F4" s="5" t="s">
        <v>468</v>
      </c>
      <c r="G4" s="5" t="s">
        <v>469</v>
      </c>
    </row>
    <row r="5" customFormat="false" ht="15" hidden="false" customHeight="false" outlineLevel="0" collapsed="false">
      <c r="A5" s="4" t="s">
        <v>470</v>
      </c>
      <c r="B5" s="4" t="s">
        <v>471</v>
      </c>
      <c r="C5" s="16" t="n">
        <v>1.5</v>
      </c>
      <c r="D5" s="7" t="n">
        <v>1</v>
      </c>
      <c r="E5" s="7" t="n">
        <v>40</v>
      </c>
      <c r="F5" s="6" t="n">
        <v>0</v>
      </c>
      <c r="G5" s="4" t="s">
        <v>472</v>
      </c>
    </row>
    <row r="6" customFormat="false" ht="15" hidden="false" customHeight="false" outlineLevel="0" collapsed="false">
      <c r="A6" s="4" t="s">
        <v>473</v>
      </c>
      <c r="B6" s="4" t="s">
        <v>474</v>
      </c>
      <c r="C6" s="16" t="n">
        <v>1.5</v>
      </c>
      <c r="D6" s="7" t="n">
        <v>1</v>
      </c>
      <c r="E6" s="7" t="n">
        <v>40</v>
      </c>
      <c r="F6" s="6" t="n">
        <v>0</v>
      </c>
      <c r="G6" s="2" t="s">
        <v>475</v>
      </c>
    </row>
    <row r="8" customFormat="false" ht="17.35" hidden="false" customHeight="false" outlineLevel="0" collapsed="false">
      <c r="A8" s="1" t="s">
        <v>34</v>
      </c>
    </row>
    <row r="9" customFormat="false" ht="31.5" hidden="false" customHeight="true" outlineLevel="0" collapsed="false">
      <c r="A9" s="5" t="s">
        <v>476</v>
      </c>
      <c r="B9" s="5" t="s">
        <v>84</v>
      </c>
      <c r="C9" s="5" t="s">
        <v>464</v>
      </c>
      <c r="D9" s="5" t="s">
        <v>477</v>
      </c>
      <c r="E9" s="5" t="s">
        <v>478</v>
      </c>
      <c r="F9" s="5" t="s">
        <v>479</v>
      </c>
      <c r="G9" s="5" t="s">
        <v>480</v>
      </c>
      <c r="H9" s="5" t="s">
        <v>481</v>
      </c>
      <c r="I9" s="5" t="s">
        <v>482</v>
      </c>
    </row>
    <row r="10" customFormat="false" ht="15" hidden="false" customHeight="false" outlineLevel="0" collapsed="false">
      <c r="A10" s="4" t="s">
        <v>483</v>
      </c>
      <c r="B10" s="4" t="s">
        <v>205</v>
      </c>
      <c r="C10" s="4" t="s">
        <v>470</v>
      </c>
      <c r="D10" s="7" t="n">
        <v>3</v>
      </c>
      <c r="E10" s="13" t="n">
        <f aca="false">D10/SUM($D$10:$D$13)</f>
        <v>0.3</v>
      </c>
      <c r="F10" s="7" t="n">
        <v>34</v>
      </c>
      <c r="G10" s="7" t="n">
        <v>12</v>
      </c>
      <c r="H10" s="4" t="s">
        <v>484</v>
      </c>
      <c r="I10" s="4" t="s">
        <v>485</v>
      </c>
    </row>
    <row r="11" customFormat="false" ht="15" hidden="false" customHeight="false" outlineLevel="0" collapsed="false">
      <c r="A11" s="4" t="s">
        <v>486</v>
      </c>
      <c r="B11" s="4" t="s">
        <v>176</v>
      </c>
      <c r="C11" s="4" t="s">
        <v>470</v>
      </c>
      <c r="D11" s="7" t="n">
        <v>3</v>
      </c>
      <c r="E11" s="13" t="n">
        <f aca="false">D11/SUM($D$10:$D$13)</f>
        <v>0.3</v>
      </c>
      <c r="F11" s="7" t="n">
        <v>78</v>
      </c>
      <c r="G11" s="7" t="n">
        <v>22</v>
      </c>
      <c r="H11" s="4" t="s">
        <v>487</v>
      </c>
      <c r="I11" s="4" t="s">
        <v>488</v>
      </c>
    </row>
    <row r="12" customFormat="false" ht="15" hidden="false" customHeight="false" outlineLevel="0" collapsed="false">
      <c r="A12" s="4" t="s">
        <v>489</v>
      </c>
      <c r="B12" s="4" t="s">
        <v>460</v>
      </c>
      <c r="C12" s="4" t="s">
        <v>470</v>
      </c>
      <c r="D12" s="7" t="n">
        <v>2</v>
      </c>
      <c r="E12" s="13" t="n">
        <f aca="false">D12/SUM($D$10:$D$13)</f>
        <v>0.2</v>
      </c>
      <c r="F12" s="7" t="n">
        <v>68</v>
      </c>
      <c r="G12" s="7" t="n">
        <v>58</v>
      </c>
      <c r="H12" s="4" t="s">
        <v>490</v>
      </c>
      <c r="I12" s="4" t="s">
        <v>491</v>
      </c>
    </row>
    <row r="13" customFormat="false" ht="15" hidden="false" customHeight="false" outlineLevel="0" collapsed="false">
      <c r="A13" s="4" t="s">
        <v>492</v>
      </c>
      <c r="B13" s="4" t="s">
        <v>461</v>
      </c>
      <c r="C13" s="4" t="s">
        <v>470</v>
      </c>
      <c r="D13" s="7" t="n">
        <v>2</v>
      </c>
      <c r="E13" s="13" t="n">
        <f aca="false">D13/SUM($D$10:$D$13)</f>
        <v>0.2</v>
      </c>
      <c r="F13" s="7" t="n">
        <v>18</v>
      </c>
      <c r="G13" s="7" t="n">
        <v>8</v>
      </c>
      <c r="H13" s="4" t="s">
        <v>493</v>
      </c>
      <c r="I13" s="4" t="s">
        <v>494</v>
      </c>
    </row>
    <row r="15" customFormat="false" ht="17.35" hidden="false" customHeight="false" outlineLevel="0" collapsed="false">
      <c r="A15" s="1" t="s">
        <v>495</v>
      </c>
    </row>
    <row r="16" customFormat="false" ht="31.5" hidden="false" customHeight="true" outlineLevel="0" collapsed="false">
      <c r="A16" s="5" t="s">
        <v>496</v>
      </c>
      <c r="B16" s="5" t="s">
        <v>84</v>
      </c>
      <c r="C16" s="5" t="s">
        <v>497</v>
      </c>
      <c r="D16" s="5" t="s">
        <v>498</v>
      </c>
      <c r="E16" s="5" t="s">
        <v>499</v>
      </c>
      <c r="F16" s="5" t="s">
        <v>464</v>
      </c>
      <c r="G16" s="5" t="s">
        <v>500</v>
      </c>
      <c r="H16" s="5" t="s">
        <v>501</v>
      </c>
      <c r="I16" s="5" t="s">
        <v>502</v>
      </c>
    </row>
    <row r="17" customFormat="false" ht="15" hidden="false" customHeight="false" outlineLevel="0" collapsed="false">
      <c r="A17" s="4" t="s">
        <v>158</v>
      </c>
      <c r="B17" s="4" t="s">
        <v>159</v>
      </c>
      <c r="C17" s="4" t="s">
        <v>503</v>
      </c>
      <c r="D17" s="7" t="n">
        <v>8</v>
      </c>
      <c r="E17" s="7" t="n">
        <v>3</v>
      </c>
      <c r="F17" s="4" t="s">
        <v>470</v>
      </c>
      <c r="G17" s="7" t="n">
        <v>11</v>
      </c>
      <c r="H17" s="7" t="n">
        <v>300</v>
      </c>
      <c r="I17" s="4" t="s">
        <v>504</v>
      </c>
    </row>
    <row r="18" customFormat="false" ht="15" hidden="false" customHeight="false" outlineLevel="0" collapsed="false">
      <c r="A18" s="4" t="s">
        <v>153</v>
      </c>
      <c r="B18" s="4" t="s">
        <v>154</v>
      </c>
      <c r="C18" s="4" t="s">
        <v>505</v>
      </c>
      <c r="D18" s="7" t="n">
        <v>4</v>
      </c>
      <c r="E18" s="7" t="n">
        <v>2</v>
      </c>
      <c r="F18" s="4" t="s">
        <v>470</v>
      </c>
      <c r="G18" s="7" t="n">
        <v>4</v>
      </c>
      <c r="H18" s="7" t="n">
        <v>200</v>
      </c>
      <c r="I18" s="4" t="n">
        <v>3</v>
      </c>
    </row>
    <row r="19" customFormat="false" ht="15" hidden="false" customHeight="false" outlineLevel="0" collapsed="false">
      <c r="A19" s="4" t="s">
        <v>506</v>
      </c>
      <c r="B19" s="4" t="s">
        <v>366</v>
      </c>
      <c r="C19" s="4" t="s">
        <v>507</v>
      </c>
      <c r="D19" s="7" t="n">
        <v>6</v>
      </c>
      <c r="E19" s="7" t="n">
        <v>5</v>
      </c>
      <c r="F19" s="4" t="s">
        <v>470</v>
      </c>
      <c r="G19" s="7" t="n">
        <v>5</v>
      </c>
      <c r="H19" s="7" t="n">
        <v>450</v>
      </c>
      <c r="I19" s="4" t="n">
        <v>5</v>
      </c>
    </row>
    <row r="20" customFormat="false" ht="15" hidden="false" customHeight="false" outlineLevel="0" collapsed="false">
      <c r="A20" s="4" t="s">
        <v>508</v>
      </c>
      <c r="B20" s="4" t="s">
        <v>373</v>
      </c>
      <c r="C20" s="4" t="s">
        <v>509</v>
      </c>
      <c r="D20" s="7" t="n">
        <v>6</v>
      </c>
      <c r="E20" s="7" t="n">
        <v>3</v>
      </c>
      <c r="F20" s="4" t="s">
        <v>470</v>
      </c>
      <c r="G20" s="7" t="n">
        <v>6</v>
      </c>
      <c r="H20" s="7" t="n">
        <v>350</v>
      </c>
      <c r="I20" s="4" t="n">
        <v>6</v>
      </c>
    </row>
    <row r="22" customFormat="false" ht="17.35" hidden="false" customHeight="false" outlineLevel="0" collapsed="false">
      <c r="A22" s="1" t="s">
        <v>510</v>
      </c>
      <c r="C22" s="2" t="s">
        <v>511</v>
      </c>
    </row>
    <row r="23" customFormat="false" ht="31.5" hidden="false" customHeight="true" outlineLevel="0" collapsed="false">
      <c r="A23" s="5" t="s">
        <v>512</v>
      </c>
      <c r="B23" s="5" t="s">
        <v>513</v>
      </c>
      <c r="C23" s="5" t="s">
        <v>514</v>
      </c>
      <c r="D23" s="5" t="s">
        <v>515</v>
      </c>
      <c r="E23" s="5" t="s">
        <v>516</v>
      </c>
      <c r="F23" s="5" t="s">
        <v>517</v>
      </c>
      <c r="G23" s="5" t="s">
        <v>518</v>
      </c>
      <c r="H23" s="5" t="s">
        <v>519</v>
      </c>
      <c r="I23" s="5" t="s">
        <v>520</v>
      </c>
    </row>
    <row r="24" customFormat="false" ht="15" hidden="false" customHeight="false" outlineLevel="0" collapsed="false">
      <c r="A24" s="4" t="n">
        <v>0</v>
      </c>
      <c r="B24" s="17" t="n">
        <f aca="false">INT($D$17*$C$5^MIN($A24,$E$5))</f>
        <v>8</v>
      </c>
      <c r="C24" s="17" t="n">
        <f aca="false">$E$17+$D$5*MIN($A24,$E$5)</f>
        <v>3</v>
      </c>
      <c r="D24" s="17" t="n">
        <f aca="false">INT($D$18*$C$5^MIN($A24,$E$5))</f>
        <v>4</v>
      </c>
      <c r="E24" s="17" t="n">
        <f aca="false">$E$18+$D$5*MIN($A24,$E$5)</f>
        <v>2</v>
      </c>
      <c r="F24" s="17" t="n">
        <f aca="false">INT($D$19*$C$5^MIN($A24,$E$5))</f>
        <v>6</v>
      </c>
      <c r="G24" s="17" t="n">
        <f aca="false">$E$19+$D$5*MIN($A24,$E$5)</f>
        <v>5</v>
      </c>
      <c r="H24" s="17" t="n">
        <f aca="false">INT($D$20*$C$5^MIN($A24,$E$5))</f>
        <v>6</v>
      </c>
      <c r="I24" s="17" t="n">
        <f aca="false">$E$20+$D$5*MIN($A24,$E$5)</f>
        <v>3</v>
      </c>
    </row>
    <row r="25" customFormat="false" ht="15" hidden="false" customHeight="false" outlineLevel="0" collapsed="false">
      <c r="A25" s="4" t="n">
        <v>1</v>
      </c>
      <c r="B25" s="17" t="n">
        <f aca="false">INT($D$17*$C$5^MIN($A25,$E$5))</f>
        <v>12</v>
      </c>
      <c r="C25" s="17" t="n">
        <f aca="false">$E$17+$D$5*MIN($A25,$E$5)</f>
        <v>4</v>
      </c>
      <c r="D25" s="17" t="n">
        <f aca="false">INT($D$18*$C$5^MIN($A25,$E$5))</f>
        <v>6</v>
      </c>
      <c r="E25" s="17" t="n">
        <f aca="false">$E$18+$D$5*MIN($A25,$E$5)</f>
        <v>3</v>
      </c>
      <c r="F25" s="17" t="n">
        <f aca="false">INT($D$19*$C$5^MIN($A25,$E$5))</f>
        <v>9</v>
      </c>
      <c r="G25" s="17" t="n">
        <f aca="false">$E$19+$D$5*MIN($A25,$E$5)</f>
        <v>6</v>
      </c>
      <c r="H25" s="17" t="n">
        <f aca="false">INT($D$20*$C$5^MIN($A25,$E$5))</f>
        <v>9</v>
      </c>
      <c r="I25" s="17" t="n">
        <f aca="false">$E$20+$D$5*MIN($A25,$E$5)</f>
        <v>4</v>
      </c>
    </row>
    <row r="26" customFormat="false" ht="15" hidden="false" customHeight="false" outlineLevel="0" collapsed="false">
      <c r="A26" s="4" t="n">
        <v>2</v>
      </c>
      <c r="B26" s="17" t="n">
        <f aca="false">INT($D$17*$C$5^MIN($A26,$E$5))</f>
        <v>18</v>
      </c>
      <c r="C26" s="17" t="n">
        <f aca="false">$E$17+$D$5*MIN($A26,$E$5)</f>
        <v>5</v>
      </c>
      <c r="D26" s="17" t="n">
        <f aca="false">INT($D$18*$C$5^MIN($A26,$E$5))</f>
        <v>9</v>
      </c>
      <c r="E26" s="17" t="n">
        <f aca="false">$E$18+$D$5*MIN($A26,$E$5)</f>
        <v>4</v>
      </c>
      <c r="F26" s="17" t="n">
        <f aca="false">INT($D$19*$C$5^MIN($A26,$E$5))</f>
        <v>13</v>
      </c>
      <c r="G26" s="17" t="n">
        <f aca="false">$E$19+$D$5*MIN($A26,$E$5)</f>
        <v>7</v>
      </c>
      <c r="H26" s="17" t="n">
        <f aca="false">INT($D$20*$C$5^MIN($A26,$E$5))</f>
        <v>13</v>
      </c>
      <c r="I26" s="17" t="n">
        <f aca="false">$E$20+$D$5*MIN($A26,$E$5)</f>
        <v>5</v>
      </c>
    </row>
    <row r="27" customFormat="false" ht="15" hidden="false" customHeight="false" outlineLevel="0" collapsed="false">
      <c r="A27" s="4" t="n">
        <v>3</v>
      </c>
      <c r="B27" s="17" t="n">
        <f aca="false">INT($D$17*$C$5^MIN($A27,$E$5))</f>
        <v>27</v>
      </c>
      <c r="C27" s="17" t="n">
        <f aca="false">$E$17+$D$5*MIN($A27,$E$5)</f>
        <v>6</v>
      </c>
      <c r="D27" s="17" t="n">
        <f aca="false">INT($D$18*$C$5^MIN($A27,$E$5))</f>
        <v>13</v>
      </c>
      <c r="E27" s="17" t="n">
        <f aca="false">$E$18+$D$5*MIN($A27,$E$5)</f>
        <v>5</v>
      </c>
      <c r="F27" s="17" t="n">
        <f aca="false">INT($D$19*$C$5^MIN($A27,$E$5))</f>
        <v>20</v>
      </c>
      <c r="G27" s="17" t="n">
        <f aca="false">$E$19+$D$5*MIN($A27,$E$5)</f>
        <v>8</v>
      </c>
      <c r="H27" s="17" t="n">
        <f aca="false">INT($D$20*$C$5^MIN($A27,$E$5))</f>
        <v>20</v>
      </c>
      <c r="I27" s="17" t="n">
        <f aca="false">$E$20+$D$5*MIN($A27,$E$5)</f>
        <v>6</v>
      </c>
    </row>
    <row r="28" customFormat="false" ht="15" hidden="false" customHeight="false" outlineLevel="0" collapsed="false">
      <c r="A28" s="4" t="n">
        <v>4</v>
      </c>
      <c r="B28" s="17" t="n">
        <f aca="false">INT($D$17*$C$5^MIN($A28,$E$5))</f>
        <v>40</v>
      </c>
      <c r="C28" s="17" t="n">
        <f aca="false">$E$17+$D$5*MIN($A28,$E$5)</f>
        <v>7</v>
      </c>
      <c r="D28" s="17" t="n">
        <f aca="false">INT($D$18*$C$5^MIN($A28,$E$5))</f>
        <v>20</v>
      </c>
      <c r="E28" s="17" t="n">
        <f aca="false">$E$18+$D$5*MIN($A28,$E$5)</f>
        <v>6</v>
      </c>
      <c r="F28" s="17" t="n">
        <f aca="false">INT($D$19*$C$5^MIN($A28,$E$5))</f>
        <v>30</v>
      </c>
      <c r="G28" s="17" t="n">
        <f aca="false">$E$19+$D$5*MIN($A28,$E$5)</f>
        <v>9</v>
      </c>
      <c r="H28" s="17" t="n">
        <f aca="false">INT($D$20*$C$5^MIN($A28,$E$5))</f>
        <v>30</v>
      </c>
      <c r="I28" s="17" t="n">
        <f aca="false">$E$20+$D$5*MIN($A28,$E$5)</f>
        <v>7</v>
      </c>
    </row>
    <row r="29" customFormat="false" ht="15" hidden="false" customHeight="false" outlineLevel="0" collapsed="false">
      <c r="A29" s="4" t="n">
        <v>5</v>
      </c>
      <c r="B29" s="17" t="n">
        <f aca="false">INT($D$17*$C$5^MIN($A29,$E$5))</f>
        <v>60</v>
      </c>
      <c r="C29" s="17" t="n">
        <f aca="false">$E$17+$D$5*MIN($A29,$E$5)</f>
        <v>8</v>
      </c>
      <c r="D29" s="17" t="n">
        <f aca="false">INT($D$18*$C$5^MIN($A29,$E$5))</f>
        <v>30</v>
      </c>
      <c r="E29" s="17" t="n">
        <f aca="false">$E$18+$D$5*MIN($A29,$E$5)</f>
        <v>7</v>
      </c>
      <c r="F29" s="17" t="n">
        <f aca="false">INT($D$19*$C$5^MIN($A29,$E$5))</f>
        <v>45</v>
      </c>
      <c r="G29" s="17" t="n">
        <f aca="false">$E$19+$D$5*MIN($A29,$E$5)</f>
        <v>10</v>
      </c>
      <c r="H29" s="17" t="n">
        <f aca="false">INT($D$20*$C$5^MIN($A29,$E$5))</f>
        <v>45</v>
      </c>
      <c r="I29" s="17" t="n">
        <f aca="false">$E$20+$D$5*MIN($A29,$E$5)</f>
        <v>8</v>
      </c>
    </row>
    <row r="30" customFormat="false" ht="15" hidden="false" customHeight="false" outlineLevel="0" collapsed="false">
      <c r="A30" s="4" t="n">
        <v>6</v>
      </c>
      <c r="B30" s="17" t="n">
        <f aca="false">INT($D$17*$C$5^MIN($A30,$E$5))</f>
        <v>91</v>
      </c>
      <c r="C30" s="17" t="n">
        <f aca="false">$E$17+$D$5*MIN($A30,$E$5)</f>
        <v>9</v>
      </c>
      <c r="D30" s="17" t="n">
        <f aca="false">INT($D$18*$C$5^MIN($A30,$E$5))</f>
        <v>45</v>
      </c>
      <c r="E30" s="17" t="n">
        <f aca="false">$E$18+$D$5*MIN($A30,$E$5)</f>
        <v>8</v>
      </c>
      <c r="F30" s="17" t="n">
        <f aca="false">INT($D$19*$C$5^MIN($A30,$E$5))</f>
        <v>68</v>
      </c>
      <c r="G30" s="17" t="n">
        <f aca="false">$E$19+$D$5*MIN($A30,$E$5)</f>
        <v>11</v>
      </c>
      <c r="H30" s="17" t="n">
        <f aca="false">INT($D$20*$C$5^MIN($A30,$E$5))</f>
        <v>68</v>
      </c>
      <c r="I30" s="17" t="n">
        <f aca="false">$E$20+$D$5*MIN($A30,$E$5)</f>
        <v>9</v>
      </c>
    </row>
    <row r="31" customFormat="false" ht="15" hidden="false" customHeight="false" outlineLevel="0" collapsed="false">
      <c r="A31" s="4" t="n">
        <v>7</v>
      </c>
      <c r="B31" s="17" t="n">
        <f aca="false">INT($D$17*$C$5^MIN($A31,$E$5))</f>
        <v>136</v>
      </c>
      <c r="C31" s="17" t="n">
        <f aca="false">$E$17+$D$5*MIN($A31,$E$5)</f>
        <v>10</v>
      </c>
      <c r="D31" s="17" t="n">
        <f aca="false">INT($D$18*$C$5^MIN($A31,$E$5))</f>
        <v>68</v>
      </c>
      <c r="E31" s="17" t="n">
        <f aca="false">$E$18+$D$5*MIN($A31,$E$5)</f>
        <v>9</v>
      </c>
      <c r="F31" s="17" t="n">
        <f aca="false">INT($D$19*$C$5^MIN($A31,$E$5))</f>
        <v>102</v>
      </c>
      <c r="G31" s="17" t="n">
        <f aca="false">$E$19+$D$5*MIN($A31,$E$5)</f>
        <v>12</v>
      </c>
      <c r="H31" s="17" t="n">
        <f aca="false">INT($D$20*$C$5^MIN($A31,$E$5))</f>
        <v>102</v>
      </c>
      <c r="I31" s="17" t="n">
        <f aca="false">$E$20+$D$5*MIN($A31,$E$5)</f>
        <v>10</v>
      </c>
    </row>
    <row r="32" customFormat="false" ht="15" hidden="false" customHeight="false" outlineLevel="0" collapsed="false">
      <c r="A32" s="4" t="n">
        <v>8</v>
      </c>
      <c r="B32" s="17" t="n">
        <f aca="false">INT($D$17*$C$5^MIN($A32,$E$5))</f>
        <v>205</v>
      </c>
      <c r="C32" s="17" t="n">
        <f aca="false">$E$17+$D$5*MIN($A32,$E$5)</f>
        <v>11</v>
      </c>
      <c r="D32" s="17" t="n">
        <f aca="false">INT($D$18*$C$5^MIN($A32,$E$5))</f>
        <v>102</v>
      </c>
      <c r="E32" s="17" t="n">
        <f aca="false">$E$18+$D$5*MIN($A32,$E$5)</f>
        <v>10</v>
      </c>
      <c r="F32" s="17" t="n">
        <f aca="false">INT($D$19*$C$5^MIN($A32,$E$5))</f>
        <v>153</v>
      </c>
      <c r="G32" s="17" t="n">
        <f aca="false">$E$19+$D$5*MIN($A32,$E$5)</f>
        <v>13</v>
      </c>
      <c r="H32" s="17" t="n">
        <f aca="false">INT($D$20*$C$5^MIN($A32,$E$5))</f>
        <v>153</v>
      </c>
      <c r="I32" s="17" t="n">
        <f aca="false">$E$20+$D$5*MIN($A32,$E$5)</f>
        <v>11</v>
      </c>
    </row>
    <row r="33" customFormat="false" ht="15" hidden="false" customHeight="false" outlineLevel="0" collapsed="false">
      <c r="A33" s="4" t="n">
        <v>9</v>
      </c>
      <c r="B33" s="17" t="n">
        <f aca="false">INT($D$17*$C$5^MIN($A33,$E$5))</f>
        <v>307</v>
      </c>
      <c r="C33" s="17" t="n">
        <f aca="false">$E$17+$D$5*MIN($A33,$E$5)</f>
        <v>12</v>
      </c>
      <c r="D33" s="17" t="n">
        <f aca="false">INT($D$18*$C$5^MIN($A33,$E$5))</f>
        <v>153</v>
      </c>
      <c r="E33" s="17" t="n">
        <f aca="false">$E$18+$D$5*MIN($A33,$E$5)</f>
        <v>11</v>
      </c>
      <c r="F33" s="17" t="n">
        <f aca="false">INT($D$19*$C$5^MIN($A33,$E$5))</f>
        <v>230</v>
      </c>
      <c r="G33" s="17" t="n">
        <f aca="false">$E$19+$D$5*MIN($A33,$E$5)</f>
        <v>14</v>
      </c>
      <c r="H33" s="17" t="n">
        <f aca="false">INT($D$20*$C$5^MIN($A33,$E$5))</f>
        <v>230</v>
      </c>
      <c r="I33" s="17" t="n">
        <f aca="false">$E$20+$D$5*MIN($A33,$E$5)</f>
        <v>12</v>
      </c>
    </row>
    <row r="34" customFormat="false" ht="15" hidden="false" customHeight="false" outlineLevel="0" collapsed="false">
      <c r="A34" s="4" t="n">
        <v>10</v>
      </c>
      <c r="B34" s="17" t="n">
        <f aca="false">INT($D$17*$C$5^MIN($A34,$E$5))</f>
        <v>461</v>
      </c>
      <c r="C34" s="17" t="n">
        <f aca="false">$E$17+$D$5*MIN($A34,$E$5)</f>
        <v>13</v>
      </c>
      <c r="D34" s="17" t="n">
        <f aca="false">INT($D$18*$C$5^MIN($A34,$E$5))</f>
        <v>230</v>
      </c>
      <c r="E34" s="17" t="n">
        <f aca="false">$E$18+$D$5*MIN($A34,$E$5)</f>
        <v>12</v>
      </c>
      <c r="F34" s="17" t="n">
        <f aca="false">INT($D$19*$C$5^MIN($A34,$E$5))</f>
        <v>345</v>
      </c>
      <c r="G34" s="17" t="n">
        <f aca="false">$E$19+$D$5*MIN($A34,$E$5)</f>
        <v>15</v>
      </c>
      <c r="H34" s="17" t="n">
        <f aca="false">INT($D$20*$C$5^MIN($A34,$E$5))</f>
        <v>345</v>
      </c>
      <c r="I34" s="17" t="n">
        <f aca="false">$E$20+$D$5*MIN($A34,$E$5)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12" min="5" style="0" width="10"/>
  </cols>
  <sheetData>
    <row r="1" customFormat="false" ht="17.35" hidden="false" customHeight="false" outlineLevel="0" collapsed="false">
      <c r="A1" s="1" t="s">
        <v>521</v>
      </c>
    </row>
    <row r="2" customFormat="false" ht="15" hidden="false" customHeight="false" outlineLevel="0" collapsed="false">
      <c r="A2" s="2" t="s">
        <v>522</v>
      </c>
    </row>
    <row r="4" customFormat="false" ht="15" hidden="false" customHeight="false" outlineLevel="0" collapsed="false">
      <c r="A4" s="3" t="s">
        <v>523</v>
      </c>
      <c r="E4" s="18" t="s">
        <v>205</v>
      </c>
      <c r="F4" s="18"/>
      <c r="G4" s="18" t="s">
        <v>176</v>
      </c>
      <c r="H4" s="18"/>
      <c r="I4" s="18" t="s">
        <v>460</v>
      </c>
      <c r="J4" s="18"/>
      <c r="K4" s="18" t="s">
        <v>461</v>
      </c>
      <c r="L4" s="18"/>
    </row>
    <row r="5" customFormat="false" ht="31.5" hidden="false" customHeight="true" outlineLevel="0" collapsed="false">
      <c r="A5" s="5" t="s">
        <v>83</v>
      </c>
      <c r="B5" s="5" t="s">
        <v>61</v>
      </c>
      <c r="C5" s="5" t="s">
        <v>524</v>
      </c>
      <c r="D5" s="5" t="s">
        <v>87</v>
      </c>
      <c r="E5" s="5" t="s">
        <v>525</v>
      </c>
      <c r="F5" s="5" t="s">
        <v>526</v>
      </c>
      <c r="G5" s="5" t="s">
        <v>525</v>
      </c>
      <c r="H5" s="5" t="s">
        <v>526</v>
      </c>
      <c r="I5" s="5" t="s">
        <v>525</v>
      </c>
      <c r="J5" s="5" t="s">
        <v>526</v>
      </c>
      <c r="K5" s="5" t="s">
        <v>525</v>
      </c>
      <c r="L5" s="5" t="s">
        <v>526</v>
      </c>
    </row>
    <row r="6" customFormat="false" ht="15" hidden="false" customHeight="false" outlineLevel="0" collapsed="false">
      <c r="A6" s="4" t="s">
        <v>102</v>
      </c>
      <c r="B6" s="4" t="str">
        <f aca="false">Encounters!E5</f>
        <v>common</v>
      </c>
      <c r="C6" s="7" t="n">
        <v>1</v>
      </c>
      <c r="D6" s="4" t="n">
        <f aca="false">Encounters!F5</f>
        <v>11</v>
      </c>
      <c r="E6" s="17" t="n">
        <f aca="false">INT($C6*$D6*Regions!C5)</f>
        <v>13</v>
      </c>
      <c r="F6" s="13" t="n">
        <f aca="false">IF(E6=0,0,IF($B6="rare",F$32/E$27,IF($B6="uncommon",F$33/E$28,F$34/E$29))*E6)</f>
        <v>0.0963725421348315</v>
      </c>
      <c r="G6" s="17" t="n">
        <f aca="false">INT($C6*$D6*Regions!D5)</f>
        <v>6</v>
      </c>
      <c r="H6" s="13" t="n">
        <f aca="false">IF(G6=0,0,IF($B6="rare",H$32/G$27,IF($B6="uncommon",H$33/G$28,H$34/G$29))*G6)</f>
        <v>0.0299293831168831</v>
      </c>
      <c r="I6" s="17" t="n">
        <f aca="false">INT($C6*$D6*Regions!E5)</f>
        <v>33</v>
      </c>
      <c r="J6" s="13" t="n">
        <f aca="false">IF(I6=0,0,IF($B6="rare",J$32/I$27,IF($B6="uncommon",J$33/I$28,J$34/I$29))*I6)</f>
        <v>0.21519609375</v>
      </c>
      <c r="K6" s="17" t="n">
        <f aca="false">INT($C6*$D6*Regions!F5)</f>
        <v>11</v>
      </c>
      <c r="L6" s="13" t="n">
        <f aca="false">IF(K6=0,0,IF($B6="rare",L$32/K$27,IF($B6="uncommon",L$33/K$28,L$34/K$29))*K6)</f>
        <v>0.0646970238095238</v>
      </c>
    </row>
    <row r="7" customFormat="false" ht="15" hidden="false" customHeight="false" outlineLevel="0" collapsed="false">
      <c r="A7" s="4" t="s">
        <v>112</v>
      </c>
      <c r="B7" s="4" t="str">
        <f aca="false">Encounters!E6</f>
        <v>common</v>
      </c>
      <c r="C7" s="7" t="n">
        <v>1</v>
      </c>
      <c r="D7" s="4" t="n">
        <f aca="false">Encounters!F6</f>
        <v>18</v>
      </c>
      <c r="E7" s="17" t="n">
        <f aca="false">INT($C7*$D7*Regions!C6)</f>
        <v>13</v>
      </c>
      <c r="F7" s="13" t="n">
        <f aca="false">IF(E7=0,0,IF($B7="rare",F$32/E$27,IF($B7="uncommon",F$33/E$28,F$34/E$29))*E7)</f>
        <v>0.0963725421348315</v>
      </c>
      <c r="G7" s="17" t="n">
        <f aca="false">INT($C7*$D7*Regions!D6)</f>
        <v>28</v>
      </c>
      <c r="H7" s="13" t="n">
        <f aca="false">IF(G7=0,0,IF($B7="rare",H$32/G$27,IF($B7="uncommon",H$33/G$28,H$34/G$29))*G7)</f>
        <v>0.139670454545455</v>
      </c>
      <c r="I7" s="17" t="n">
        <f aca="false">INT($C7*$D7*Regions!E6)</f>
        <v>23</v>
      </c>
      <c r="J7" s="13" t="n">
        <f aca="false">IF(I7=0,0,IF($B7="rare",J$32/I$27,IF($B7="uncommon",J$33/I$28,J$34/I$29))*I7)</f>
        <v>0.14998515625</v>
      </c>
      <c r="K7" s="17" t="n">
        <f aca="false">INT($C7*$D7*Regions!F6)</f>
        <v>0</v>
      </c>
      <c r="L7" s="13" t="n">
        <f aca="false">IF(K7=0,0,IF($B7="rare",L$32/K$27,IF($B7="uncommon",L$33/K$28,L$34/K$29))*K7)</f>
        <v>0</v>
      </c>
    </row>
    <row r="8" customFormat="false" ht="15" hidden="false" customHeight="false" outlineLevel="0" collapsed="false">
      <c r="A8" s="4" t="s">
        <v>120</v>
      </c>
      <c r="B8" s="4" t="str">
        <f aca="false">Encounters!E7</f>
        <v>common</v>
      </c>
      <c r="C8" s="7" t="n">
        <v>1</v>
      </c>
      <c r="D8" s="4" t="n">
        <f aca="false">Encounters!F7</f>
        <v>12</v>
      </c>
      <c r="E8" s="17" t="n">
        <f aca="false">INT($C8*$D8*Regions!C7)</f>
        <v>0</v>
      </c>
      <c r="F8" s="13" t="n">
        <f aca="false">IF(E8=0,0,IF($B8="rare",F$32/E$27,IF($B8="uncommon",F$33/E$28,F$34/E$29))*E8)</f>
        <v>0</v>
      </c>
      <c r="G8" s="17" t="n">
        <f aca="false">INT($C8*$D8*Regions!D7)</f>
        <v>18</v>
      </c>
      <c r="H8" s="13" t="n">
        <f aca="false">IF(G8=0,0,IF($B8="rare",H$32/G$27,IF($B8="uncommon",H$33/G$28,H$34/G$29))*G8)</f>
        <v>0.0897881493506494</v>
      </c>
      <c r="I8" s="17" t="n">
        <f aca="false">INT($C8*$D8*Regions!E7)</f>
        <v>0</v>
      </c>
      <c r="J8" s="13" t="n">
        <f aca="false">IF(I8=0,0,IF($B8="rare",J$32/I$27,IF($B8="uncommon",J$33/I$28,J$34/I$29))*I8)</f>
        <v>0</v>
      </c>
      <c r="K8" s="17" t="n">
        <f aca="false">INT($C8*$D8*Regions!F7)</f>
        <v>16</v>
      </c>
      <c r="L8" s="13" t="n">
        <f aca="false">IF(K8=0,0,IF($B8="rare",L$32/K$27,IF($B8="uncommon",L$33/K$28,L$34/K$29))*K8)</f>
        <v>0.0941047619047619</v>
      </c>
    </row>
    <row r="9" customFormat="false" ht="15" hidden="false" customHeight="false" outlineLevel="0" collapsed="false">
      <c r="A9" s="4" t="s">
        <v>127</v>
      </c>
      <c r="B9" s="4" t="str">
        <f aca="false">Encounters!E8</f>
        <v>common</v>
      </c>
      <c r="C9" s="7" t="n">
        <v>1</v>
      </c>
      <c r="D9" s="4" t="n">
        <f aca="false">Encounters!F8</f>
        <v>9</v>
      </c>
      <c r="E9" s="17" t="n">
        <f aca="false">INT($C9*$D9*Regions!C8)</f>
        <v>9</v>
      </c>
      <c r="F9" s="13" t="n">
        <f aca="false">IF(E9=0,0,IF($B9="rare",F$32/E$27,IF($B9="uncommon",F$33/E$28,F$34/E$29))*E9)</f>
        <v>0.066719452247191</v>
      </c>
      <c r="G9" s="17" t="n">
        <f aca="false">INT($C9*$D9*Regions!D8)</f>
        <v>6</v>
      </c>
      <c r="H9" s="13" t="n">
        <f aca="false">IF(G9=0,0,IF($B9="rare",H$32/G$27,IF($B9="uncommon",H$33/G$28,H$34/G$29))*G9)</f>
        <v>0.0299293831168831</v>
      </c>
      <c r="I9" s="17" t="n">
        <f aca="false">INT($C9*$D9*Regions!E8)</f>
        <v>5</v>
      </c>
      <c r="J9" s="13" t="n">
        <f aca="false">IF(I9=0,0,IF($B9="rare",J$32/I$27,IF($B9="uncommon",J$33/I$28,J$34/I$29))*I9)</f>
        <v>0.03260546875</v>
      </c>
      <c r="K9" s="17" t="n">
        <f aca="false">INT($C9*$D9*Regions!F8)</f>
        <v>19</v>
      </c>
      <c r="L9" s="13" t="n">
        <f aca="false">IF(K9=0,0,IF($B9="rare",L$32/K$27,IF($B9="uncommon",L$33/K$28,L$34/K$29))*K9)</f>
        <v>0.111749404761905</v>
      </c>
    </row>
    <row r="10" customFormat="false" ht="15" hidden="false" customHeight="false" outlineLevel="0" collapsed="false">
      <c r="A10" s="4" t="s">
        <v>132</v>
      </c>
      <c r="B10" s="4" t="str">
        <f aca="false">Encounters!E9</f>
        <v>common</v>
      </c>
      <c r="C10" s="7" t="n">
        <v>1</v>
      </c>
      <c r="D10" s="4" t="n">
        <f aca="false">Encounters!F9</f>
        <v>7</v>
      </c>
      <c r="E10" s="17" t="n">
        <f aca="false">INT($C10*$D10*Regions!C9)</f>
        <v>7</v>
      </c>
      <c r="F10" s="13" t="n">
        <f aca="false">IF(E10=0,0,IF($B10="rare",F$32/E$27,IF($B10="uncommon",F$33/E$28,F$34/E$29))*E10)</f>
        <v>0.0518929073033708</v>
      </c>
      <c r="G10" s="17" t="n">
        <f aca="false">INT($C10*$D10*Regions!D9)</f>
        <v>7</v>
      </c>
      <c r="H10" s="13" t="n">
        <f aca="false">IF(G10=0,0,IF($B10="rare",H$32/G$27,IF($B10="uncommon",H$33/G$28,H$34/G$29))*G10)</f>
        <v>0.0349176136363636</v>
      </c>
      <c r="I10" s="17" t="n">
        <f aca="false">INT($C10*$D10*Regions!E9)</f>
        <v>7</v>
      </c>
      <c r="J10" s="13" t="n">
        <f aca="false">IF(I10=0,0,IF($B10="rare",J$32/I$27,IF($B10="uncommon",J$33/I$28,J$34/I$29))*I10)</f>
        <v>0.04564765625</v>
      </c>
      <c r="K10" s="17" t="n">
        <f aca="false">INT($C10*$D10*Regions!F9)</f>
        <v>7</v>
      </c>
      <c r="L10" s="13" t="n">
        <f aca="false">IF(K10=0,0,IF($B10="rare",L$32/K$27,IF($B10="uncommon",L$33/K$28,L$34/K$29))*K10)</f>
        <v>0.0411708333333333</v>
      </c>
    </row>
    <row r="11" customFormat="false" ht="15" hidden="false" customHeight="false" outlineLevel="0" collapsed="false">
      <c r="A11" s="4" t="s">
        <v>136</v>
      </c>
      <c r="B11" s="4" t="str">
        <f aca="false">Encounters!E10</f>
        <v>common</v>
      </c>
      <c r="C11" s="7" t="n">
        <v>1</v>
      </c>
      <c r="D11" s="4" t="n">
        <f aca="false">Encounters!F10</f>
        <v>9</v>
      </c>
      <c r="E11" s="17" t="n">
        <f aca="false">INT($C11*$D11*Regions!C10)</f>
        <v>9</v>
      </c>
      <c r="F11" s="13" t="n">
        <f aca="false">IF(E11=0,0,IF($B11="rare",F$32/E$27,IF($B11="uncommon",F$33/E$28,F$34/E$29))*E11)</f>
        <v>0.066719452247191</v>
      </c>
      <c r="G11" s="17" t="n">
        <f aca="false">INT($C11*$D11*Regions!D10)</f>
        <v>9</v>
      </c>
      <c r="H11" s="13" t="n">
        <f aca="false">IF(G11=0,0,IF($B11="rare",H$32/G$27,IF($B11="uncommon",H$33/G$28,H$34/G$29))*G11)</f>
        <v>0.0448940746753247</v>
      </c>
      <c r="I11" s="17" t="n">
        <f aca="false">INT($C11*$D11*Regions!E10)</f>
        <v>9</v>
      </c>
      <c r="J11" s="13" t="n">
        <f aca="false">IF(I11=0,0,IF($B11="rare",J$32/I$27,IF($B11="uncommon",J$33/I$28,J$34/I$29))*I11)</f>
        <v>0.05868984375</v>
      </c>
      <c r="K11" s="17" t="n">
        <f aca="false">INT($C11*$D11*Regions!F10)</f>
        <v>9</v>
      </c>
      <c r="L11" s="13" t="n">
        <f aca="false">IF(K11=0,0,IF($B11="rare",L$32/K$27,IF($B11="uncommon",L$33/K$28,L$34/K$29))*K11)</f>
        <v>0.0529339285714286</v>
      </c>
    </row>
    <row r="12" customFormat="false" ht="15" hidden="false" customHeight="false" outlineLevel="0" collapsed="false">
      <c r="A12" s="4" t="s">
        <v>143</v>
      </c>
      <c r="B12" s="4" t="str">
        <f aca="false">Encounters!E11</f>
        <v>common</v>
      </c>
      <c r="C12" s="7" t="n">
        <v>1</v>
      </c>
      <c r="D12" s="4" t="n">
        <f aca="false">Encounters!F11</f>
        <v>4</v>
      </c>
      <c r="E12" s="17" t="n">
        <f aca="false">INT($C12*$D12*Regions!C11)</f>
        <v>4</v>
      </c>
      <c r="F12" s="13" t="n">
        <f aca="false">IF(E12=0,0,IF($B12="rare",F$32/E$27,IF($B12="uncommon",F$33/E$28,F$34/E$29))*E12)</f>
        <v>0.0296530898876404</v>
      </c>
      <c r="G12" s="17" t="n">
        <f aca="false">INT($C12*$D12*Regions!D11)</f>
        <v>4</v>
      </c>
      <c r="H12" s="13" t="n">
        <f aca="false">IF(G12=0,0,IF($B12="rare",H$32/G$27,IF($B12="uncommon",H$33/G$28,H$34/G$29))*G12)</f>
        <v>0.0199529220779221</v>
      </c>
      <c r="I12" s="17" t="n">
        <f aca="false">INT($C12*$D12*Regions!E11)</f>
        <v>4</v>
      </c>
      <c r="J12" s="13" t="n">
        <f aca="false">IF(I12=0,0,IF($B12="rare",J$32/I$27,IF($B12="uncommon",J$33/I$28,J$34/I$29))*I12)</f>
        <v>0.026084375</v>
      </c>
      <c r="K12" s="17" t="n">
        <f aca="false">INT($C12*$D12*Regions!F11)</f>
        <v>4</v>
      </c>
      <c r="L12" s="13" t="n">
        <f aca="false">IF(K12=0,0,IF($B12="rare",L$32/K$27,IF($B12="uncommon",L$33/K$28,L$34/K$29))*K12)</f>
        <v>0.0235261904761905</v>
      </c>
    </row>
    <row r="13" customFormat="false" ht="15" hidden="false" customHeight="false" outlineLevel="0" collapsed="false">
      <c r="A13" s="9" t="s">
        <v>147</v>
      </c>
      <c r="B13" s="9" t="str">
        <f aca="false">Encounters!E12</f>
        <v>uncommon</v>
      </c>
      <c r="C13" s="7" t="n">
        <v>1</v>
      </c>
      <c r="D13" s="4" t="n">
        <f aca="false">Encounters!F12</f>
        <v>3</v>
      </c>
      <c r="E13" s="17" t="n">
        <f aca="false">INT($C13*$D13*Regions!C12)</f>
        <v>3</v>
      </c>
      <c r="F13" s="13" t="n">
        <f aca="false">IF(E13=0,0,IF($B13="rare",F$32/E$27,IF($B13="uncommon",F$33/E$28,F$34/E$29))*E13)</f>
        <v>0.04603125</v>
      </c>
      <c r="G13" s="17" t="n">
        <f aca="false">INT($C13*$D13*Regions!D12)</f>
        <v>3</v>
      </c>
      <c r="H13" s="13" t="n">
        <f aca="false">IF(G13=0,0,IF($B13="rare",H$32/G$27,IF($B13="uncommon",H$33/G$28,H$34/G$29))*G13)</f>
        <v>0.0451875</v>
      </c>
      <c r="I13" s="17" t="n">
        <f aca="false">INT($C13*$D13*Regions!E12)</f>
        <v>3</v>
      </c>
      <c r="J13" s="13" t="n">
        <f aca="false">IF(I13=0,0,IF($B13="rare",J$32/I$27,IF($B13="uncommon",J$33/I$28,J$34/I$29))*I13)</f>
        <v>0.04603125</v>
      </c>
      <c r="K13" s="17" t="n">
        <f aca="false">INT($C13*$D13*Regions!F12)</f>
        <v>3</v>
      </c>
      <c r="L13" s="13" t="n">
        <f aca="false">IF(K13=0,0,IF($B13="rare",L$32/K$27,IF($B13="uncommon",L$33/K$28,L$34/K$29))*K13)</f>
        <v>0.0451875</v>
      </c>
    </row>
    <row r="14" customFormat="false" ht="15" hidden="false" customHeight="false" outlineLevel="0" collapsed="false">
      <c r="A14" s="4" t="s">
        <v>153</v>
      </c>
      <c r="B14" s="4" t="str">
        <f aca="false">Encounters!E13</f>
        <v>common</v>
      </c>
      <c r="C14" s="7" t="n">
        <v>1</v>
      </c>
      <c r="D14" s="4" t="n">
        <f aca="false">Encounters!F13</f>
        <v>3</v>
      </c>
      <c r="E14" s="17" t="n">
        <f aca="false">INT($C14*$D14*Regions!C13)</f>
        <v>3</v>
      </c>
      <c r="F14" s="13" t="n">
        <f aca="false">IF(E14=0,0,IF($B14="rare",F$32/E$27,IF($B14="uncommon",F$33/E$28,F$34/E$29))*E14)</f>
        <v>0.0222398174157303</v>
      </c>
      <c r="G14" s="17" t="n">
        <f aca="false">INT($C14*$D14*Regions!D13)</f>
        <v>3</v>
      </c>
      <c r="H14" s="13" t="n">
        <f aca="false">IF(G14=0,0,IF($B14="rare",H$32/G$27,IF($B14="uncommon",H$33/G$28,H$34/G$29))*G14)</f>
        <v>0.0149646915584416</v>
      </c>
      <c r="I14" s="17" t="n">
        <f aca="false">INT($C14*$D14*Regions!E13)</f>
        <v>3</v>
      </c>
      <c r="J14" s="13" t="n">
        <f aca="false">IF(I14=0,0,IF($B14="rare",J$32/I$27,IF($B14="uncommon",J$33/I$28,J$34/I$29))*I14)</f>
        <v>0.01956328125</v>
      </c>
      <c r="K14" s="17" t="n">
        <f aca="false">INT($C14*$D14*Regions!F13)</f>
        <v>3</v>
      </c>
      <c r="L14" s="13" t="n">
        <f aca="false">IF(K14=0,0,IF($B14="rare",L$32/K$27,IF($B14="uncommon",L$33/K$28,L$34/K$29))*K14)</f>
        <v>0.0176446428571429</v>
      </c>
    </row>
    <row r="15" customFormat="false" ht="15" hidden="false" customHeight="false" outlineLevel="0" collapsed="false">
      <c r="A15" s="4" t="s">
        <v>158</v>
      </c>
      <c r="B15" s="4" t="str">
        <f aca="false">Encounters!E14</f>
        <v>common</v>
      </c>
      <c r="C15" s="7" t="n">
        <v>1</v>
      </c>
      <c r="D15" s="4" t="n">
        <f aca="false">Encounters!F14</f>
        <v>9</v>
      </c>
      <c r="E15" s="17" t="n">
        <f aca="false">INT($C15*$D15*Regions!C14)</f>
        <v>6</v>
      </c>
      <c r="F15" s="13" t="n">
        <f aca="false">IF(E15=0,0,IF($B15="rare",F$32/E$27,IF($B15="uncommon",F$33/E$28,F$34/E$29))*E15)</f>
        <v>0.0444796348314607</v>
      </c>
      <c r="G15" s="17" t="n">
        <f aca="false">INT($C15*$D15*Regions!D14)</f>
        <v>22</v>
      </c>
      <c r="H15" s="13" t="n">
        <f aca="false">IF(G15=0,0,IF($B15="rare",H$32/G$27,IF($B15="uncommon",H$33/G$28,H$34/G$29))*G15)</f>
        <v>0.109741071428571</v>
      </c>
      <c r="I15" s="17" t="n">
        <f aca="false">INT($C15*$D15*Regions!E14)</f>
        <v>11</v>
      </c>
      <c r="J15" s="13" t="n">
        <f aca="false">IF(I15=0,0,IF($B15="rare",J$32/I$27,IF($B15="uncommon",J$33/I$28,J$34/I$29))*I15)</f>
        <v>0.07173203125</v>
      </c>
      <c r="K15" s="17" t="n">
        <f aca="false">INT($C15*$D15*Regions!F14)</f>
        <v>3</v>
      </c>
      <c r="L15" s="13" t="n">
        <f aca="false">IF(K15=0,0,IF($B15="rare",L$32/K$27,IF($B15="uncommon",L$33/K$28,L$34/K$29))*K15)</f>
        <v>0.0176446428571429</v>
      </c>
    </row>
    <row r="16" customFormat="false" ht="15" hidden="false" customHeight="false" outlineLevel="0" collapsed="false">
      <c r="A16" s="4" t="s">
        <v>162</v>
      </c>
      <c r="B16" s="4" t="str">
        <f aca="false">Encounters!E15</f>
        <v>common</v>
      </c>
      <c r="C16" s="7" t="n">
        <v>1</v>
      </c>
      <c r="D16" s="4" t="n">
        <f aca="false">Encounters!F15</f>
        <v>10</v>
      </c>
      <c r="E16" s="17" t="n">
        <f aca="false">INT($C16*$D16*Regions!C15)</f>
        <v>10</v>
      </c>
      <c r="F16" s="13" t="n">
        <f aca="false">IF(E16=0,0,IF($B16="rare",F$32/E$27,IF($B16="uncommon",F$33/E$28,F$34/E$29))*E16)</f>
        <v>0.0741327247191011</v>
      </c>
      <c r="G16" s="17" t="n">
        <f aca="false">INT($C16*$D16*Regions!D15)</f>
        <v>20</v>
      </c>
      <c r="H16" s="13" t="n">
        <f aca="false">IF(G16=0,0,IF($B16="rare",H$32/G$27,IF($B16="uncommon",H$33/G$28,H$34/G$29))*G16)</f>
        <v>0.0997646103896104</v>
      </c>
      <c r="I16" s="17" t="n">
        <f aca="false">INT($C16*$D16*Regions!E15)</f>
        <v>10</v>
      </c>
      <c r="J16" s="13" t="n">
        <f aca="false">IF(I16=0,0,IF($B16="rare",J$32/I$27,IF($B16="uncommon",J$33/I$28,J$34/I$29))*I16)</f>
        <v>0.0652109375</v>
      </c>
      <c r="K16" s="17" t="n">
        <f aca="false">INT($C16*$D16*Regions!F15)</f>
        <v>10</v>
      </c>
      <c r="L16" s="13" t="n">
        <f aca="false">IF(K16=0,0,IF($B16="rare",L$32/K$27,IF($B16="uncommon",L$33/K$28,L$34/K$29))*K16)</f>
        <v>0.0588154761904762</v>
      </c>
    </row>
    <row r="17" customFormat="false" ht="15" hidden="false" customHeight="false" outlineLevel="0" collapsed="false">
      <c r="A17" s="4" t="s">
        <v>170</v>
      </c>
      <c r="B17" s="4" t="str">
        <f aca="false">Encounters!E16</f>
        <v>common</v>
      </c>
      <c r="C17" s="7" t="n">
        <v>1</v>
      </c>
      <c r="D17" s="4" t="n">
        <f aca="false">Encounters!F16</f>
        <v>8</v>
      </c>
      <c r="E17" s="17" t="n">
        <f aca="false">INT($C17*$D17*Regions!C16)</f>
        <v>8</v>
      </c>
      <c r="F17" s="13" t="n">
        <f aca="false">IF(E17=0,0,IF($B17="rare",F$32/E$27,IF($B17="uncommon",F$33/E$28,F$34/E$29))*E17)</f>
        <v>0.0593061797752809</v>
      </c>
      <c r="G17" s="17" t="n">
        <f aca="false">INT($C17*$D17*Regions!D16)</f>
        <v>8</v>
      </c>
      <c r="H17" s="13" t="n">
        <f aca="false">IF(G17=0,0,IF($B17="rare",H$32/G$27,IF($B17="uncommon",H$33/G$28,H$34/G$29))*G17)</f>
        <v>0.0399058441558442</v>
      </c>
      <c r="I17" s="17" t="n">
        <f aca="false">INT($C17*$D17*Regions!E16)</f>
        <v>8</v>
      </c>
      <c r="J17" s="13" t="n">
        <f aca="false">IF(I17=0,0,IF($B17="rare",J$32/I$27,IF($B17="uncommon",J$33/I$28,J$34/I$29))*I17)</f>
        <v>0.05216875</v>
      </c>
      <c r="K17" s="17" t="n">
        <f aca="false">INT($C17*$D17*Regions!F16)</f>
        <v>8</v>
      </c>
      <c r="L17" s="13" t="n">
        <f aca="false">IF(K17=0,0,IF($B17="rare",L$32/K$27,IF($B17="uncommon",L$33/K$28,L$34/K$29))*K17)</f>
        <v>0.047052380952381</v>
      </c>
    </row>
    <row r="18" customFormat="false" ht="15" hidden="false" customHeight="false" outlineLevel="0" collapsed="false">
      <c r="A18" s="4" t="s">
        <v>173</v>
      </c>
      <c r="B18" s="4" t="str">
        <f aca="false">Encounters!E17</f>
        <v>common</v>
      </c>
      <c r="C18" s="7" t="n">
        <v>1</v>
      </c>
      <c r="D18" s="4" t="n">
        <f aca="false">Encounters!F17</f>
        <v>8</v>
      </c>
      <c r="E18" s="17" t="n">
        <f aca="false">INT($C18*$D18*Regions!C17)</f>
        <v>0</v>
      </c>
      <c r="F18" s="13" t="n">
        <f aca="false">IF(E18=0,0,IF($B18="rare",F$32/E$27,IF($B18="uncommon",F$33/E$28,F$34/E$29))*E18)</f>
        <v>0</v>
      </c>
      <c r="G18" s="17" t="n">
        <f aca="false">INT($C18*$D18*Regions!D17)</f>
        <v>16</v>
      </c>
      <c r="H18" s="13" t="n">
        <f aca="false">IF(G18=0,0,IF($B18="rare",H$32/G$27,IF($B18="uncommon",H$33/G$28,H$34/G$29))*G18)</f>
        <v>0.0798116883116883</v>
      </c>
      <c r="I18" s="17" t="n">
        <f aca="false">INT($C18*$D18*Regions!E17)</f>
        <v>0</v>
      </c>
      <c r="J18" s="13" t="n">
        <f aca="false">IF(I18=0,0,IF($B18="rare",J$32/I$27,IF($B18="uncommon",J$33/I$28,J$34/I$29))*I18)</f>
        <v>0</v>
      </c>
      <c r="K18" s="17" t="n">
        <f aca="false">INT($C18*$D18*Regions!F17)</f>
        <v>0</v>
      </c>
      <c r="L18" s="13" t="n">
        <f aca="false">IF(K18=0,0,IF($B18="rare",L$32/K$27,IF($B18="uncommon",L$33/K$28,L$34/K$29))*K18)</f>
        <v>0</v>
      </c>
    </row>
    <row r="19" customFormat="false" ht="15" hidden="false" customHeight="false" outlineLevel="0" collapsed="false">
      <c r="A19" s="4" t="s">
        <v>180</v>
      </c>
      <c r="B19" s="4" t="str">
        <f aca="false">Encounters!E18</f>
        <v>common</v>
      </c>
      <c r="C19" s="7" t="n">
        <v>1</v>
      </c>
      <c r="D19" s="4" t="n">
        <f aca="false">Encounters!F18</f>
        <v>7</v>
      </c>
      <c r="E19" s="17" t="n">
        <f aca="false">INT($C19*$D19*Regions!C18)</f>
        <v>7</v>
      </c>
      <c r="F19" s="13" t="n">
        <f aca="false">IF(E19=0,0,IF($B19="rare",F$32/E$27,IF($B19="uncommon",F$33/E$28,F$34/E$29))*E19)</f>
        <v>0.0518929073033708</v>
      </c>
      <c r="G19" s="17" t="n">
        <f aca="false">INT($C19*$D19*Regions!D18)</f>
        <v>7</v>
      </c>
      <c r="H19" s="13" t="n">
        <f aca="false">IF(G19=0,0,IF($B19="rare",H$32/G$27,IF($B19="uncommon",H$33/G$28,H$34/G$29))*G19)</f>
        <v>0.0349176136363636</v>
      </c>
      <c r="I19" s="17" t="n">
        <f aca="false">INT($C19*$D19*Regions!E18)</f>
        <v>7</v>
      </c>
      <c r="J19" s="13" t="n">
        <f aca="false">IF(I19=0,0,IF($B19="rare",J$32/I$27,IF($B19="uncommon",J$33/I$28,J$34/I$29))*I19)</f>
        <v>0.04564765625</v>
      </c>
      <c r="K19" s="17" t="n">
        <f aca="false">INT($C19*$D19*Regions!F18)</f>
        <v>15</v>
      </c>
      <c r="L19" s="13" t="n">
        <f aca="false">IF(K19=0,0,IF($B19="rare",L$32/K$27,IF($B19="uncommon",L$33/K$28,L$34/K$29))*K19)</f>
        <v>0.0882232142857143</v>
      </c>
    </row>
    <row r="20" customFormat="false" ht="15" hidden="false" customHeight="false" outlineLevel="0" collapsed="false">
      <c r="A20" s="10" t="s">
        <v>187</v>
      </c>
      <c r="B20" s="10" t="str">
        <f aca="false">Encounters!E19</f>
        <v>rare</v>
      </c>
      <c r="C20" s="7" t="n">
        <v>1</v>
      </c>
      <c r="D20" s="4" t="n">
        <f aca="false">Encounters!F19</f>
        <v>3</v>
      </c>
      <c r="E20" s="17" t="n">
        <f aca="false">INT($C20*$D20*Regions!C19)</f>
        <v>0</v>
      </c>
      <c r="F20" s="13" t="n">
        <f aca="false">IF(E20=0,0,IF($B20="rare",F$32/E$27,IF($B20="uncommon",F$33/E$28,F$34/E$29))*E20)</f>
        <v>0</v>
      </c>
      <c r="G20" s="17" t="n">
        <f aca="false">INT($C20*$D20*Regions!D19)</f>
        <v>3</v>
      </c>
      <c r="H20" s="13" t="n">
        <f aca="false">IF(G20=0,0,IF($B20="rare",H$32/G$27,IF($B20="uncommon",H$33/G$28,H$34/G$29))*G20)</f>
        <v>0.018</v>
      </c>
      <c r="I20" s="17" t="n">
        <f aca="false">INT($C20*$D20*Regions!E19)</f>
        <v>0</v>
      </c>
      <c r="J20" s="13" t="n">
        <f aca="false">IF(I20=0,0,IF($B20="rare",J$32/I$27,IF($B20="uncommon",J$33/I$28,J$34/I$29))*I20)</f>
        <v>0</v>
      </c>
      <c r="K20" s="17" t="n">
        <f aca="false">INT($C20*$D20*Regions!F19)</f>
        <v>3</v>
      </c>
      <c r="L20" s="13" t="n">
        <f aca="false">IF(K20=0,0,IF($B20="rare",L$32/K$27,IF($B20="uncommon",L$33/K$28,L$34/K$29))*K20)</f>
        <v>0.018</v>
      </c>
    </row>
    <row r="21" customFormat="false" ht="15" hidden="false" customHeight="false" outlineLevel="0" collapsed="false">
      <c r="A21" s="10" t="s">
        <v>190</v>
      </c>
      <c r="B21" s="10" t="str">
        <f aca="false">Encounters!E20</f>
        <v>rare</v>
      </c>
      <c r="C21" s="7" t="n">
        <v>1</v>
      </c>
      <c r="D21" s="4" t="n">
        <f aca="false">Encounters!F20</f>
        <v>3</v>
      </c>
      <c r="E21" s="17" t="n">
        <f aca="false">INT($C21*$D21*Regions!C20)</f>
        <v>3</v>
      </c>
      <c r="F21" s="13" t="n">
        <f aca="false">IF(E21=0,0,IF($B21="rare",F$32/E$27,IF($B21="uncommon",F$33/E$28,F$34/E$29))*E21)</f>
        <v>0.018</v>
      </c>
      <c r="G21" s="17" t="n">
        <f aca="false">INT($C21*$D21*Regions!D20)</f>
        <v>3</v>
      </c>
      <c r="H21" s="13" t="n">
        <f aca="false">IF(G21=0,0,IF($B21="rare",H$32/G$27,IF($B21="uncommon",H$33/G$28,H$34/G$29))*G21)</f>
        <v>0.018</v>
      </c>
      <c r="I21" s="17" t="n">
        <f aca="false">INT($C21*$D21*Regions!E20)</f>
        <v>3</v>
      </c>
      <c r="J21" s="13" t="n">
        <f aca="false">IF(I21=0,0,IF($B21="rare",J$32/I$27,IF($B21="uncommon",J$33/I$28,J$34/I$29))*I21)</f>
        <v>0.018</v>
      </c>
      <c r="K21" s="17" t="n">
        <f aca="false">INT($C21*$D21*Regions!F20)</f>
        <v>3</v>
      </c>
      <c r="L21" s="13" t="n">
        <f aca="false">IF(K21=0,0,IF($B21="rare",L$32/K$27,IF($B21="uncommon",L$33/K$28,L$34/K$29))*K21)</f>
        <v>0.018</v>
      </c>
    </row>
    <row r="22" customFormat="false" ht="15" hidden="false" customHeight="false" outlineLevel="0" collapsed="false">
      <c r="A22" s="9" t="s">
        <v>193</v>
      </c>
      <c r="B22" s="9" t="str">
        <f aca="false">Encounters!E21</f>
        <v>uncommon</v>
      </c>
      <c r="C22" s="7" t="n">
        <v>1</v>
      </c>
      <c r="D22" s="4" t="n">
        <f aca="false">Encounters!F21</f>
        <v>5</v>
      </c>
      <c r="E22" s="17" t="n">
        <f aca="false">INT($C22*$D22*Regions!C21)</f>
        <v>5</v>
      </c>
      <c r="F22" s="13" t="n">
        <f aca="false">IF(E22=0,0,IF($B22="rare",F$32/E$27,IF($B22="uncommon",F$33/E$28,F$34/E$29))*E22)</f>
        <v>0.07671875</v>
      </c>
      <c r="G22" s="17" t="n">
        <f aca="false">INT($C22*$D22*Regions!D21)</f>
        <v>5</v>
      </c>
      <c r="H22" s="13" t="n">
        <f aca="false">IF(G22=0,0,IF($B22="rare",H$32/G$27,IF($B22="uncommon",H$33/G$28,H$34/G$29))*G22)</f>
        <v>0.0753125</v>
      </c>
      <c r="I22" s="17" t="n">
        <f aca="false">INT($C22*$D22*Regions!E21)</f>
        <v>5</v>
      </c>
      <c r="J22" s="13" t="n">
        <f aca="false">IF(I22=0,0,IF($B22="rare",J$32/I$27,IF($B22="uncommon",J$33/I$28,J$34/I$29))*I22)</f>
        <v>0.07671875</v>
      </c>
      <c r="K22" s="17" t="n">
        <f aca="false">INT($C22*$D22*Regions!F21)</f>
        <v>15</v>
      </c>
      <c r="L22" s="13" t="n">
        <f aca="false">IF(K22=0,0,IF($B22="rare",L$32/K$27,IF($B22="uncommon",L$33/K$28,L$34/K$29))*K22)</f>
        <v>0.2259375</v>
      </c>
    </row>
    <row r="23" customFormat="false" ht="15" hidden="false" customHeight="false" outlineLevel="0" collapsed="false">
      <c r="A23" s="9" t="s">
        <v>195</v>
      </c>
      <c r="B23" s="9" t="str">
        <f aca="false">Encounters!E22</f>
        <v>uncommon</v>
      </c>
      <c r="C23" s="7" t="n">
        <v>1</v>
      </c>
      <c r="D23" s="4" t="n">
        <f aca="false">Encounters!F22</f>
        <v>5</v>
      </c>
      <c r="E23" s="17" t="n">
        <f aca="false">INT($C23*$D23*Regions!C22)</f>
        <v>7</v>
      </c>
      <c r="F23" s="13" t="n">
        <f aca="false">IF(E23=0,0,IF($B23="rare",F$32/E$27,IF($B23="uncommon",F$33/E$28,F$34/E$29))*E23)</f>
        <v>0.10740625</v>
      </c>
      <c r="G23" s="17" t="n">
        <f aca="false">INT($C23*$D23*Regions!D22)</f>
        <v>5</v>
      </c>
      <c r="H23" s="13" t="n">
        <f aca="false">IF(G23=0,0,IF($B23="rare",H$32/G$27,IF($B23="uncommon",H$33/G$28,H$34/G$29))*G23)</f>
        <v>0.0753125</v>
      </c>
      <c r="I23" s="17" t="n">
        <f aca="false">INT($C23*$D23*Regions!E22)</f>
        <v>5</v>
      </c>
      <c r="J23" s="13" t="n">
        <f aca="false">IF(I23=0,0,IF($B23="rare",J$32/I$27,IF($B23="uncommon",J$33/I$28,J$34/I$29))*I23)</f>
        <v>0.07671875</v>
      </c>
      <c r="K23" s="17" t="n">
        <f aca="false">INT($C23*$D23*Regions!F22)</f>
        <v>5</v>
      </c>
      <c r="L23" s="13" t="n">
        <f aca="false">IF(K23=0,0,IF($B23="rare",L$32/K$27,IF($B23="uncommon",L$33/K$28,L$34/K$29))*K23)</f>
        <v>0.0753125</v>
      </c>
    </row>
    <row r="24" customFormat="false" ht="15" hidden="false" customHeight="false" outlineLevel="0" collapsed="false">
      <c r="A24" s="9" t="s">
        <v>201</v>
      </c>
      <c r="B24" s="9" t="str">
        <f aca="false">Encounters!E23</f>
        <v>uncommon</v>
      </c>
      <c r="C24" s="7" t="n">
        <v>1</v>
      </c>
      <c r="D24" s="4" t="n">
        <f aca="false">Encounters!F23</f>
        <v>6</v>
      </c>
      <c r="E24" s="17" t="n">
        <f aca="false">INT($C24*$D24*Regions!C23)</f>
        <v>6</v>
      </c>
      <c r="F24" s="13" t="n">
        <f aca="false">IF(E24=0,0,IF($B24="rare",F$32/E$27,IF($B24="uncommon",F$33/E$28,F$34/E$29))*E24)</f>
        <v>0.0920625</v>
      </c>
      <c r="G24" s="17" t="n">
        <f aca="false">INT($C24*$D24*Regions!D23)</f>
        <v>0</v>
      </c>
      <c r="H24" s="13" t="n">
        <f aca="false">IF(G24=0,0,IF($B24="rare",H$32/G$27,IF($B24="uncommon",H$33/G$28,H$34/G$29))*G24)</f>
        <v>0</v>
      </c>
      <c r="I24" s="17" t="n">
        <f aca="false">INT($C24*$D24*Regions!E23)</f>
        <v>0</v>
      </c>
      <c r="J24" s="13" t="n">
        <f aca="false">IF(I24=0,0,IF($B24="rare",J$32/I$27,IF($B24="uncommon",J$33/I$28,J$34/I$29))*I24)</f>
        <v>0</v>
      </c>
      <c r="K24" s="17" t="n">
        <f aca="false">INT($C24*$D24*Regions!F23)</f>
        <v>0</v>
      </c>
      <c r="L24" s="13" t="n">
        <f aca="false">IF(K24=0,0,IF($B24="rare",L$32/K$27,IF($B24="uncommon",L$33/K$28,L$34/K$29))*K24)</f>
        <v>0</v>
      </c>
    </row>
    <row r="26" customFormat="false" ht="15" hidden="false" customHeight="false" outlineLevel="0" collapsed="false">
      <c r="A26" s="3" t="s">
        <v>527</v>
      </c>
    </row>
    <row r="27" customFormat="false" ht="15" hidden="false" customHeight="false" outlineLevel="0" collapsed="false">
      <c r="A27" s="4" t="s">
        <v>528</v>
      </c>
      <c r="E27" s="19" t="n">
        <f aca="false">SUMIFS($E$6:$E$24,$B$6:$B$24,"rare")</f>
        <v>3</v>
      </c>
      <c r="G27" s="19" t="n">
        <f aca="false">SUMIFS($G$6:$G$24,$B$6:$B$24,"rare")</f>
        <v>6</v>
      </c>
      <c r="I27" s="19" t="n">
        <f aca="false">SUMIFS($I$6:$I$24,$B$6:$B$24,"rare")</f>
        <v>3</v>
      </c>
      <c r="K27" s="19" t="n">
        <f aca="false">SUMIFS($K$6:$K$24,$B$6:$B$24,"rare")</f>
        <v>6</v>
      </c>
    </row>
    <row r="28" customFormat="false" ht="15" hidden="false" customHeight="false" outlineLevel="0" collapsed="false">
      <c r="A28" s="4" t="s">
        <v>529</v>
      </c>
      <c r="E28" s="19" t="n">
        <f aca="false">SUMIFS($E$6:$E$24,$B$6:$B$24,"uncommon")</f>
        <v>21</v>
      </c>
      <c r="G28" s="19" t="n">
        <f aca="false">SUMIFS($G$6:$G$24,$B$6:$B$24,"uncommon")</f>
        <v>13</v>
      </c>
      <c r="I28" s="19" t="n">
        <f aca="false">SUMIFS($I$6:$I$24,$B$6:$B$24,"uncommon")</f>
        <v>13</v>
      </c>
      <c r="K28" s="19" t="n">
        <f aca="false">SUMIFS($K$6:$K$24,$B$6:$B$24,"uncommon")</f>
        <v>23</v>
      </c>
    </row>
    <row r="29" customFormat="false" ht="15" hidden="false" customHeight="false" outlineLevel="0" collapsed="false">
      <c r="A29" s="4" t="s">
        <v>530</v>
      </c>
      <c r="E29" s="19" t="n">
        <f aca="false">SUMIFS($E$6:$E$24,$B$6:$B$24,"common")</f>
        <v>89</v>
      </c>
      <c r="G29" s="19" t="n">
        <f aca="false">SUMIFS($G$6:$G$24,$B$6:$B$24,"common")</f>
        <v>154</v>
      </c>
      <c r="I29" s="19" t="n">
        <f aca="false">SUMIFS($I$6:$I$24,$B$6:$B$24,"common")</f>
        <v>120</v>
      </c>
      <c r="K29" s="19" t="n">
        <f aca="false">SUMIFS($K$6:$K$24,$B$6:$B$24,"common")</f>
        <v>105</v>
      </c>
    </row>
    <row r="30" customFormat="false" ht="15" hidden="false" customHeight="false" outlineLevel="0" collapsed="false">
      <c r="A30" s="4" t="s">
        <v>531</v>
      </c>
      <c r="F30" s="13" t="n">
        <f aca="false">IF(E27=0,0,MIN(Tiers!$B$9,Tiers!$B$5*E27/Tiers!$C$5*Tiers!$B$12))</f>
        <v>0.018</v>
      </c>
      <c r="H30" s="13" t="n">
        <f aca="false">IF(G27=0,0,MIN(Tiers!$B$9,Tiers!$B$5*G27/Tiers!$C$5*Tiers!$B$12))</f>
        <v>0.036</v>
      </c>
      <c r="J30" s="13" t="n">
        <f aca="false">IF(I27=0,0,MIN(Tiers!$B$9,Tiers!$B$5*I27/Tiers!$C$5*Tiers!$B$12))</f>
        <v>0.018</v>
      </c>
      <c r="L30" s="13" t="n">
        <f aca="false">IF(K27=0,0,MIN(Tiers!$B$9,Tiers!$B$5*K27/Tiers!$C$5*Tiers!$B$12))</f>
        <v>0.036</v>
      </c>
    </row>
    <row r="31" customFormat="false" ht="15" hidden="false" customHeight="false" outlineLevel="0" collapsed="false">
      <c r="A31" s="4" t="s">
        <v>532</v>
      </c>
      <c r="F31" s="13" t="n">
        <f aca="false">IF(E28=0,0,MIN(Tiers!$B$9,Tiers!$B$6*E28/Tiers!$C$6*Tiers!$B$12))</f>
        <v>0.328125</v>
      </c>
      <c r="H31" s="13" t="n">
        <f aca="false">IF(G28=0,0,MIN(Tiers!$B$9,Tiers!$B$6*G28/Tiers!$C$6*Tiers!$B$12))</f>
        <v>0.203125</v>
      </c>
      <c r="J31" s="13" t="n">
        <f aca="false">IF(I28=0,0,MIN(Tiers!$B$9,Tiers!$B$6*I28/Tiers!$C$6*Tiers!$B$12))</f>
        <v>0.203125</v>
      </c>
      <c r="L31" s="13" t="n">
        <f aca="false">IF(K28=0,0,MIN(Tiers!$B$9,Tiers!$B$6*K28/Tiers!$C$6*Tiers!$B$12))</f>
        <v>0.359375</v>
      </c>
    </row>
    <row r="32" customFormat="false" ht="15" hidden="false" customHeight="false" outlineLevel="0" collapsed="false">
      <c r="A32" s="3" t="s">
        <v>533</v>
      </c>
      <c r="F32" s="11" t="n">
        <f aca="false">IF(E27=0,0,IF(E28+E29=0,1,F30))</f>
        <v>0.018</v>
      </c>
      <c r="H32" s="11" t="n">
        <f aca="false">IF(G27=0,0,IF(G28+G29=0,1,H30))</f>
        <v>0.036</v>
      </c>
      <c r="J32" s="11" t="n">
        <f aca="false">IF(I27=0,0,IF(I28+I29=0,1,J30))</f>
        <v>0.018</v>
      </c>
      <c r="L32" s="11" t="n">
        <f aca="false">IF(K27=0,0,IF(K28+K29=0,1,L30))</f>
        <v>0.036</v>
      </c>
    </row>
    <row r="33" customFormat="false" ht="15" hidden="false" customHeight="false" outlineLevel="0" collapsed="false">
      <c r="A33" s="3" t="s">
        <v>534</v>
      </c>
      <c r="F33" s="11" t="n">
        <f aca="false">IF(E28=0,0,IF(E29=0,1-F32,(1-F32)*F31))</f>
        <v>0.32221875</v>
      </c>
      <c r="H33" s="11" t="n">
        <f aca="false">IF(G28=0,0,IF(G29=0,1-H32,(1-H32)*H31))</f>
        <v>0.1958125</v>
      </c>
      <c r="J33" s="11" t="n">
        <f aca="false">IF(I28=0,0,IF(I29=0,1-J32,(1-J32)*J31))</f>
        <v>0.19946875</v>
      </c>
      <c r="L33" s="11" t="n">
        <f aca="false">IF(K28=0,0,IF(K29=0,1-L32,(1-L32)*L31))</f>
        <v>0.3464375</v>
      </c>
    </row>
    <row r="34" customFormat="false" ht="15" hidden="false" customHeight="false" outlineLevel="0" collapsed="false">
      <c r="A34" s="3" t="s">
        <v>535</v>
      </c>
      <c r="F34" s="11" t="n">
        <f aca="false">IF(E29=0,0,1-F32-F33)</f>
        <v>0.65978125</v>
      </c>
      <c r="H34" s="11" t="n">
        <f aca="false">IF(G29=0,0,1-H32-H33)</f>
        <v>0.7681875</v>
      </c>
      <c r="J34" s="11" t="n">
        <f aca="false">IF(I29=0,0,1-J32-J33)</f>
        <v>0.78253125</v>
      </c>
      <c r="L34" s="11" t="n">
        <f aca="false">IF(K29=0,0,1-L32-L33)</f>
        <v>0.6175625</v>
      </c>
    </row>
    <row r="35" customFormat="false" ht="15" hidden="false" customHeight="false" outlineLevel="0" collapsed="false">
      <c r="A35" s="4" t="s">
        <v>536</v>
      </c>
      <c r="F35" s="20" t="n">
        <f aca="false">SUM($F$6:$F$24)</f>
        <v>1</v>
      </c>
      <c r="H35" s="20" t="n">
        <f aca="false">SUM($H$6:$H$24)</f>
        <v>1</v>
      </c>
      <c r="J35" s="20" t="n">
        <f aca="false">SUM($J$6:$J$24)</f>
        <v>1</v>
      </c>
      <c r="L35" s="20" t="n">
        <f aca="false">SUM($L$6:$L$24)</f>
        <v>1</v>
      </c>
    </row>
    <row r="37" customFormat="false" ht="15" hidden="false" customHeight="false" outlineLevel="0" collapsed="false">
      <c r="A37" s="2" t="s">
        <v>537</v>
      </c>
    </row>
  </sheetData>
  <mergeCells count="4">
    <mergeCell ref="E4:F4"/>
    <mergeCell ref="G4:H4"/>
    <mergeCell ref="I4:J4"/>
    <mergeCell ref="K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4" min="3" style="0" width="6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538</v>
      </c>
    </row>
    <row r="4" customFormat="false" ht="31.5" hidden="false" customHeight="true" outlineLevel="0" collapsed="false">
      <c r="A4" s="5" t="s">
        <v>539</v>
      </c>
      <c r="B4" s="5" t="s">
        <v>540</v>
      </c>
      <c r="C4" s="5" t="s">
        <v>403</v>
      </c>
      <c r="D4" s="5" t="s">
        <v>404</v>
      </c>
      <c r="E4" s="5" t="s">
        <v>526</v>
      </c>
      <c r="F4" s="5" t="s">
        <v>541</v>
      </c>
      <c r="G4" s="5" t="s">
        <v>542</v>
      </c>
      <c r="H4" s="5" t="s">
        <v>543</v>
      </c>
    </row>
    <row r="5" customFormat="false" ht="15" hidden="false" customHeight="false" outlineLevel="0" collapsed="false">
      <c r="A5" s="4" t="s">
        <v>102</v>
      </c>
      <c r="B5" s="4" t="s">
        <v>544</v>
      </c>
      <c r="C5" s="7" t="n">
        <v>1</v>
      </c>
      <c r="D5" s="7" t="n">
        <v>2</v>
      </c>
      <c r="E5" s="15" t="n">
        <v>1</v>
      </c>
      <c r="F5" s="8" t="n">
        <f aca="false">E5*(C5+D5)/2</f>
        <v>1.5</v>
      </c>
      <c r="G5" s="4" t="n">
        <f aca="false">INDEX(Items!$F:$F,MATCH(B5,Items!$A:$A,0))</f>
        <v>1</v>
      </c>
      <c r="H5" s="8" t="n">
        <f aca="false">F5*G5</f>
        <v>1.5</v>
      </c>
    </row>
    <row r="6" customFormat="false" ht="15" hidden="false" customHeight="false" outlineLevel="0" collapsed="false">
      <c r="A6" s="4" t="s">
        <v>102</v>
      </c>
      <c r="B6" s="4" t="s">
        <v>545</v>
      </c>
      <c r="C6" s="7" t="n">
        <v>1</v>
      </c>
      <c r="D6" s="7" t="n">
        <v>1</v>
      </c>
      <c r="E6" s="15" t="n">
        <v>0.35</v>
      </c>
      <c r="F6" s="8" t="n">
        <f aca="false">E6*(C6+D6)/2</f>
        <v>0.35</v>
      </c>
      <c r="G6" s="4" t="n">
        <f aca="false">INDEX(Items!$F:$F,MATCH(B6,Items!$A:$A,0))</f>
        <v>2</v>
      </c>
      <c r="H6" s="8" t="n">
        <f aca="false">F6*G6</f>
        <v>0.7</v>
      </c>
    </row>
    <row r="7" customFormat="false" ht="15" hidden="false" customHeight="false" outlineLevel="0" collapsed="false">
      <c r="A7" s="4" t="s">
        <v>112</v>
      </c>
      <c r="B7" s="4" t="s">
        <v>546</v>
      </c>
      <c r="C7" s="7" t="n">
        <v>1</v>
      </c>
      <c r="D7" s="7" t="n">
        <v>1</v>
      </c>
      <c r="E7" s="15" t="n">
        <v>1</v>
      </c>
      <c r="F7" s="8" t="n">
        <f aca="false">E7*(C7+D7)/2</f>
        <v>1</v>
      </c>
      <c r="G7" s="4" t="n">
        <f aca="false">INDEX(Items!$F:$F,MATCH(B7,Items!$A:$A,0))</f>
        <v>1</v>
      </c>
      <c r="H7" s="8" t="n">
        <f aca="false">F7*G7</f>
        <v>1</v>
      </c>
    </row>
    <row r="8" customFormat="false" ht="15" hidden="false" customHeight="false" outlineLevel="0" collapsed="false">
      <c r="A8" s="4" t="s">
        <v>112</v>
      </c>
      <c r="B8" s="4" t="s">
        <v>546</v>
      </c>
      <c r="C8" s="7" t="n">
        <v>1</v>
      </c>
      <c r="D8" s="7" t="n">
        <v>1</v>
      </c>
      <c r="E8" s="15" t="n">
        <v>0.5</v>
      </c>
      <c r="F8" s="8" t="n">
        <f aca="false">E8*(C8+D8)/2</f>
        <v>0.5</v>
      </c>
      <c r="G8" s="4" t="n">
        <f aca="false">INDEX(Items!$F:$F,MATCH(B8,Items!$A:$A,0))</f>
        <v>1</v>
      </c>
      <c r="H8" s="8" t="n">
        <f aca="false">F8*G8</f>
        <v>0.5</v>
      </c>
    </row>
    <row r="9" customFormat="false" ht="15" hidden="false" customHeight="false" outlineLevel="0" collapsed="false">
      <c r="A9" s="4" t="s">
        <v>213</v>
      </c>
      <c r="B9" s="4" t="s">
        <v>547</v>
      </c>
      <c r="C9" s="7" t="n">
        <v>1</v>
      </c>
      <c r="D9" s="7" t="n">
        <v>1</v>
      </c>
      <c r="E9" s="15" t="n">
        <v>1</v>
      </c>
      <c r="F9" s="8" t="n">
        <f aca="false">E9*(C9+D9)/2</f>
        <v>1</v>
      </c>
      <c r="G9" s="4" t="n">
        <f aca="false">INDEX(Items!$F:$F,MATCH(B9,Items!$A:$A,0))</f>
        <v>3</v>
      </c>
      <c r="H9" s="8" t="n">
        <f aca="false">F9*G9</f>
        <v>3</v>
      </c>
    </row>
    <row r="10" customFormat="false" ht="15" hidden="false" customHeight="false" outlineLevel="0" collapsed="false">
      <c r="A10" s="4" t="s">
        <v>221</v>
      </c>
      <c r="B10" s="4" t="s">
        <v>546</v>
      </c>
      <c r="C10" s="7" t="n">
        <v>1</v>
      </c>
      <c r="D10" s="7" t="n">
        <v>2</v>
      </c>
      <c r="E10" s="15" t="n">
        <v>1</v>
      </c>
      <c r="F10" s="8" t="n">
        <f aca="false">E10*(C10+D10)/2</f>
        <v>1.5</v>
      </c>
      <c r="G10" s="4" t="n">
        <f aca="false">INDEX(Items!$F:$F,MATCH(B10,Items!$A:$A,0))</f>
        <v>1</v>
      </c>
      <c r="H10" s="8" t="n">
        <f aca="false">F10*G10</f>
        <v>1.5</v>
      </c>
    </row>
    <row r="11" customFormat="false" ht="15" hidden="false" customHeight="false" outlineLevel="0" collapsed="false">
      <c r="A11" s="4" t="s">
        <v>229</v>
      </c>
      <c r="B11" s="4" t="s">
        <v>544</v>
      </c>
      <c r="C11" s="7" t="n">
        <v>2</v>
      </c>
      <c r="D11" s="7" t="n">
        <v>3</v>
      </c>
      <c r="E11" s="15" t="n">
        <v>1</v>
      </c>
      <c r="F11" s="8" t="n">
        <f aca="false">E11*(C11+D11)/2</f>
        <v>2.5</v>
      </c>
      <c r="G11" s="4" t="n">
        <f aca="false">INDEX(Items!$F:$F,MATCH(B11,Items!$A:$A,0))</f>
        <v>1</v>
      </c>
      <c r="H11" s="8" t="n">
        <f aca="false">F11*G11</f>
        <v>2.5</v>
      </c>
    </row>
    <row r="12" customFormat="false" ht="15" hidden="false" customHeight="false" outlineLevel="0" collapsed="false">
      <c r="A12" s="4" t="s">
        <v>229</v>
      </c>
      <c r="B12" s="4" t="s">
        <v>545</v>
      </c>
      <c r="C12" s="7" t="n">
        <v>1</v>
      </c>
      <c r="D12" s="7" t="n">
        <v>2</v>
      </c>
      <c r="E12" s="15" t="n">
        <v>0.5</v>
      </c>
      <c r="F12" s="8" t="n">
        <f aca="false">E12*(C12+D12)/2</f>
        <v>0.75</v>
      </c>
      <c r="G12" s="4" t="n">
        <f aca="false">INDEX(Items!$F:$F,MATCH(B12,Items!$A:$A,0))</f>
        <v>2</v>
      </c>
      <c r="H12" s="8" t="n">
        <f aca="false">F12*G12</f>
        <v>1.5</v>
      </c>
    </row>
    <row r="13" customFormat="false" ht="15" hidden="false" customHeight="false" outlineLevel="0" collapsed="false">
      <c r="A13" s="4" t="s">
        <v>232</v>
      </c>
      <c r="B13" s="4" t="s">
        <v>548</v>
      </c>
      <c r="C13" s="7" t="n">
        <v>1</v>
      </c>
      <c r="D13" s="7" t="n">
        <v>1</v>
      </c>
      <c r="E13" s="15" t="n">
        <v>1</v>
      </c>
      <c r="F13" s="8" t="n">
        <f aca="false">E13*(C13+D13)/2</f>
        <v>1</v>
      </c>
      <c r="G13" s="4" t="n">
        <f aca="false">INDEX(Items!$F:$F,MATCH(B13,Items!$A:$A,0))</f>
        <v>3</v>
      </c>
      <c r="H13" s="8" t="n">
        <f aca="false">F13*G13</f>
        <v>3</v>
      </c>
    </row>
    <row r="14" customFormat="false" ht="15" hidden="false" customHeight="false" outlineLevel="0" collapsed="false">
      <c r="A14" s="4" t="s">
        <v>232</v>
      </c>
      <c r="B14" s="4" t="s">
        <v>549</v>
      </c>
      <c r="C14" s="7" t="n">
        <v>1</v>
      </c>
      <c r="D14" s="7" t="n">
        <v>1</v>
      </c>
      <c r="E14" s="15" t="n">
        <v>0.6</v>
      </c>
      <c r="F14" s="8" t="n">
        <f aca="false">E14*(C14+D14)/2</f>
        <v>0.6</v>
      </c>
      <c r="G14" s="4" t="n">
        <f aca="false">INDEX(Items!$F:$F,MATCH(B14,Items!$A:$A,0))</f>
        <v>4</v>
      </c>
      <c r="H14" s="8" t="n">
        <f aca="false">F14*G14</f>
        <v>2.4</v>
      </c>
    </row>
    <row r="15" customFormat="false" ht="15" hidden="false" customHeight="false" outlineLevel="0" collapsed="false">
      <c r="A15" s="4" t="s">
        <v>238</v>
      </c>
      <c r="B15" s="4" t="s">
        <v>550</v>
      </c>
      <c r="C15" s="7" t="n">
        <v>1</v>
      </c>
      <c r="D15" s="7" t="n">
        <v>3</v>
      </c>
      <c r="E15" s="15" t="n">
        <v>0.7</v>
      </c>
      <c r="F15" s="8" t="n">
        <f aca="false">E15*(C15+D15)/2</f>
        <v>1.4</v>
      </c>
      <c r="G15" s="4" t="n">
        <f aca="false">INDEX(Items!$F:$F,MATCH(B15,Items!$A:$A,0))</f>
        <v>2</v>
      </c>
      <c r="H15" s="8" t="n">
        <f aca="false">F15*G15</f>
        <v>2.8</v>
      </c>
    </row>
    <row r="16" customFormat="false" ht="15" hidden="false" customHeight="false" outlineLevel="0" collapsed="false">
      <c r="A16" s="4" t="s">
        <v>251</v>
      </c>
      <c r="B16" s="4" t="s">
        <v>551</v>
      </c>
      <c r="C16" s="7" t="n">
        <v>1</v>
      </c>
      <c r="D16" s="7" t="n">
        <v>2</v>
      </c>
      <c r="E16" s="15" t="n">
        <v>0.6</v>
      </c>
      <c r="F16" s="8" t="n">
        <f aca="false">E16*(C16+D16)/2</f>
        <v>0.9</v>
      </c>
      <c r="G16" s="4" t="n">
        <f aca="false">INDEX(Items!$F:$F,MATCH(B16,Items!$A:$A,0))</f>
        <v>2</v>
      </c>
      <c r="H16" s="8" t="n">
        <f aca="false">F16*G16</f>
        <v>1.8</v>
      </c>
    </row>
    <row r="17" customFormat="false" ht="15" hidden="false" customHeight="false" outlineLevel="0" collapsed="false">
      <c r="A17" s="4" t="s">
        <v>251</v>
      </c>
      <c r="B17" s="4" t="s">
        <v>552</v>
      </c>
      <c r="C17" s="7" t="n">
        <v>1</v>
      </c>
      <c r="D17" s="7" t="n">
        <v>1</v>
      </c>
      <c r="E17" s="15" t="n">
        <v>0.4</v>
      </c>
      <c r="F17" s="8" t="n">
        <f aca="false">E17*(C17+D17)/2</f>
        <v>0.4</v>
      </c>
      <c r="G17" s="4" t="n">
        <f aca="false">INDEX(Items!$F:$F,MATCH(B17,Items!$A:$A,0))</f>
        <v>3</v>
      </c>
      <c r="H17" s="8" t="n">
        <f aca="false">F17*G17</f>
        <v>1.2</v>
      </c>
    </row>
    <row r="18" customFormat="false" ht="15" hidden="false" customHeight="false" outlineLevel="0" collapsed="false">
      <c r="A18" s="4" t="s">
        <v>132</v>
      </c>
      <c r="B18" s="4" t="s">
        <v>553</v>
      </c>
      <c r="C18" s="7" t="n">
        <v>1</v>
      </c>
      <c r="D18" s="7" t="n">
        <v>1</v>
      </c>
      <c r="E18" s="15" t="n">
        <v>0.5</v>
      </c>
      <c r="F18" s="8" t="n">
        <f aca="false">E18*(C18+D18)/2</f>
        <v>0.5</v>
      </c>
      <c r="G18" s="4" t="n">
        <f aca="false">INDEX(Items!$F:$F,MATCH(B18,Items!$A:$A,0))</f>
        <v>2</v>
      </c>
      <c r="H18" s="8" t="n">
        <f aca="false">F18*G18</f>
        <v>1</v>
      </c>
    </row>
    <row r="19" customFormat="false" ht="15" hidden="false" customHeight="false" outlineLevel="0" collapsed="false">
      <c r="A19" s="4" t="s">
        <v>136</v>
      </c>
      <c r="B19" s="4" t="s">
        <v>554</v>
      </c>
      <c r="C19" s="7" t="n">
        <v>1</v>
      </c>
      <c r="D19" s="7" t="n">
        <v>1</v>
      </c>
      <c r="E19" s="15" t="n">
        <v>0.75</v>
      </c>
      <c r="F19" s="8" t="n">
        <f aca="false">E19*(C19+D19)/2</f>
        <v>0.75</v>
      </c>
      <c r="G19" s="4" t="n">
        <f aca="false">INDEX(Items!$F:$F,MATCH(B19,Items!$A:$A,0))</f>
        <v>2</v>
      </c>
      <c r="H19" s="8" t="n">
        <f aca="false">F19*G19</f>
        <v>1.5</v>
      </c>
    </row>
    <row r="20" customFormat="false" ht="15" hidden="false" customHeight="false" outlineLevel="0" collapsed="false">
      <c r="A20" s="4" t="s">
        <v>147</v>
      </c>
      <c r="B20" s="4" t="s">
        <v>552</v>
      </c>
      <c r="C20" s="7" t="n">
        <v>1</v>
      </c>
      <c r="D20" s="7" t="n">
        <v>1</v>
      </c>
      <c r="E20" s="15" t="n">
        <v>1</v>
      </c>
      <c r="F20" s="8" t="n">
        <f aca="false">E20*(C20+D20)/2</f>
        <v>1</v>
      </c>
      <c r="G20" s="4" t="n">
        <f aca="false">INDEX(Items!$F:$F,MATCH(B20,Items!$A:$A,0))</f>
        <v>3</v>
      </c>
      <c r="H20" s="8" t="n">
        <f aca="false">F20*G20</f>
        <v>3</v>
      </c>
    </row>
    <row r="21" customFormat="false" ht="15" hidden="false" customHeight="false" outlineLevel="0" collapsed="false">
      <c r="A21" s="4" t="s">
        <v>147</v>
      </c>
      <c r="B21" s="4" t="s">
        <v>551</v>
      </c>
      <c r="C21" s="7" t="n">
        <v>1</v>
      </c>
      <c r="D21" s="7" t="n">
        <v>1</v>
      </c>
      <c r="E21" s="15" t="n">
        <v>0.5</v>
      </c>
      <c r="F21" s="8" t="n">
        <f aca="false">E21*(C21+D21)/2</f>
        <v>0.5</v>
      </c>
      <c r="G21" s="4" t="n">
        <f aca="false">INDEX(Items!$F:$F,MATCH(B21,Items!$A:$A,0))</f>
        <v>2</v>
      </c>
      <c r="H21" s="8" t="n">
        <f aca="false">F21*G21</f>
        <v>1</v>
      </c>
    </row>
    <row r="22" customFormat="false" ht="15" hidden="false" customHeight="false" outlineLevel="0" collapsed="false">
      <c r="A22" s="4" t="s">
        <v>153</v>
      </c>
      <c r="B22" s="4" t="s">
        <v>554</v>
      </c>
      <c r="C22" s="7" t="n">
        <v>1</v>
      </c>
      <c r="D22" s="7" t="n">
        <v>1</v>
      </c>
      <c r="E22" s="15" t="n">
        <v>0.5</v>
      </c>
      <c r="F22" s="8" t="n">
        <f aca="false">E22*(C22+D22)/2</f>
        <v>0.5</v>
      </c>
      <c r="G22" s="4" t="n">
        <f aca="false">INDEX(Items!$F:$F,MATCH(B22,Items!$A:$A,0))</f>
        <v>2</v>
      </c>
      <c r="H22" s="8" t="n">
        <f aca="false">F22*G22</f>
        <v>1</v>
      </c>
    </row>
    <row r="23" customFormat="false" ht="15" hidden="false" customHeight="false" outlineLevel="0" collapsed="false">
      <c r="A23" s="4" t="s">
        <v>258</v>
      </c>
      <c r="B23" s="4" t="s">
        <v>554</v>
      </c>
      <c r="C23" s="7" t="n">
        <v>1</v>
      </c>
      <c r="D23" s="7" t="n">
        <v>2</v>
      </c>
      <c r="E23" s="15" t="n">
        <v>0.8</v>
      </c>
      <c r="F23" s="8" t="n">
        <f aca="false">E23*(C23+D23)/2</f>
        <v>1.2</v>
      </c>
      <c r="G23" s="4" t="n">
        <f aca="false">INDEX(Items!$F:$F,MATCH(B23,Items!$A:$A,0))</f>
        <v>2</v>
      </c>
      <c r="H23" s="8" t="n">
        <f aca="false">F23*G23</f>
        <v>2.4</v>
      </c>
    </row>
    <row r="24" customFormat="false" ht="15" hidden="false" customHeight="false" outlineLevel="0" collapsed="false">
      <c r="A24" s="4" t="s">
        <v>264</v>
      </c>
      <c r="B24" s="4" t="s">
        <v>554</v>
      </c>
      <c r="C24" s="7" t="n">
        <v>1</v>
      </c>
      <c r="D24" s="7" t="n">
        <v>1</v>
      </c>
      <c r="E24" s="15" t="n">
        <v>0.5</v>
      </c>
      <c r="F24" s="8" t="n">
        <f aca="false">E24*(C24+D24)/2</f>
        <v>0.5</v>
      </c>
      <c r="G24" s="4" t="n">
        <f aca="false">INDEX(Items!$F:$F,MATCH(B24,Items!$A:$A,0))</f>
        <v>2</v>
      </c>
      <c r="H24" s="8" t="n">
        <f aca="false">F24*G24</f>
        <v>1</v>
      </c>
    </row>
    <row r="25" customFormat="false" ht="15" hidden="false" customHeight="false" outlineLevel="0" collapsed="false">
      <c r="A25" s="4" t="s">
        <v>269</v>
      </c>
      <c r="B25" s="4" t="s">
        <v>552</v>
      </c>
      <c r="C25" s="7" t="n">
        <v>1</v>
      </c>
      <c r="D25" s="7" t="n">
        <v>2</v>
      </c>
      <c r="E25" s="15" t="n">
        <v>1</v>
      </c>
      <c r="F25" s="8" t="n">
        <f aca="false">E25*(C25+D25)/2</f>
        <v>1.5</v>
      </c>
      <c r="G25" s="4" t="n">
        <f aca="false">INDEX(Items!$F:$F,MATCH(B25,Items!$A:$A,0))</f>
        <v>3</v>
      </c>
      <c r="H25" s="8" t="n">
        <f aca="false">F25*G25</f>
        <v>4.5</v>
      </c>
    </row>
    <row r="26" customFormat="false" ht="15" hidden="false" customHeight="false" outlineLevel="0" collapsed="false">
      <c r="A26" s="4" t="s">
        <v>269</v>
      </c>
      <c r="B26" s="4" t="s">
        <v>554</v>
      </c>
      <c r="C26" s="7" t="n">
        <v>1</v>
      </c>
      <c r="D26" s="7" t="n">
        <v>1</v>
      </c>
      <c r="E26" s="15" t="n">
        <v>0.4</v>
      </c>
      <c r="F26" s="8" t="n">
        <f aca="false">E26*(C26+D26)/2</f>
        <v>0.4</v>
      </c>
      <c r="G26" s="4" t="n">
        <f aca="false">INDEX(Items!$F:$F,MATCH(B26,Items!$A:$A,0))</f>
        <v>2</v>
      </c>
      <c r="H26" s="8" t="n">
        <f aca="false">F26*G26</f>
        <v>0.8</v>
      </c>
    </row>
    <row r="27" customFormat="false" ht="15" hidden="false" customHeight="false" outlineLevel="0" collapsed="false">
      <c r="A27" s="4" t="s">
        <v>276</v>
      </c>
      <c r="B27" s="4" t="s">
        <v>554</v>
      </c>
      <c r="C27" s="7" t="n">
        <v>1</v>
      </c>
      <c r="D27" s="7" t="n">
        <v>2</v>
      </c>
      <c r="E27" s="15" t="n">
        <v>1</v>
      </c>
      <c r="F27" s="8" t="n">
        <f aca="false">E27*(C27+D27)/2</f>
        <v>1.5</v>
      </c>
      <c r="G27" s="4" t="n">
        <f aca="false">INDEX(Items!$F:$F,MATCH(B27,Items!$A:$A,0))</f>
        <v>2</v>
      </c>
      <c r="H27" s="8" t="n">
        <f aca="false">F27*G27</f>
        <v>3</v>
      </c>
    </row>
    <row r="28" customFormat="false" ht="15" hidden="false" customHeight="false" outlineLevel="0" collapsed="false">
      <c r="A28" s="4" t="s">
        <v>276</v>
      </c>
      <c r="B28" s="4" t="s">
        <v>552</v>
      </c>
      <c r="C28" s="7" t="n">
        <v>1</v>
      </c>
      <c r="D28" s="7" t="n">
        <v>1</v>
      </c>
      <c r="E28" s="15" t="n">
        <v>0.5</v>
      </c>
      <c r="F28" s="8" t="n">
        <f aca="false">E28*(C28+D28)/2</f>
        <v>0.5</v>
      </c>
      <c r="G28" s="4" t="n">
        <f aca="false">INDEX(Items!$F:$F,MATCH(B28,Items!$A:$A,0))</f>
        <v>3</v>
      </c>
      <c r="H28" s="8" t="n">
        <f aca="false">F28*G28</f>
        <v>1.5</v>
      </c>
    </row>
    <row r="29" customFormat="false" ht="15" hidden="false" customHeight="false" outlineLevel="0" collapsed="false">
      <c r="A29" s="4" t="s">
        <v>158</v>
      </c>
      <c r="B29" s="4" t="s">
        <v>548</v>
      </c>
      <c r="C29" s="7" t="n">
        <v>1</v>
      </c>
      <c r="D29" s="7" t="n">
        <v>1</v>
      </c>
      <c r="E29" s="15" t="n">
        <v>1</v>
      </c>
      <c r="F29" s="8" t="n">
        <f aca="false">E29*(C29+D29)/2</f>
        <v>1</v>
      </c>
      <c r="G29" s="4" t="n">
        <f aca="false">INDEX(Items!$F:$F,MATCH(B29,Items!$A:$A,0))</f>
        <v>3</v>
      </c>
      <c r="H29" s="8" t="n">
        <f aca="false">F29*G29</f>
        <v>3</v>
      </c>
    </row>
    <row r="30" customFormat="false" ht="15" hidden="false" customHeight="false" outlineLevel="0" collapsed="false">
      <c r="A30" s="4" t="s">
        <v>158</v>
      </c>
      <c r="B30" s="4" t="s">
        <v>549</v>
      </c>
      <c r="C30" s="7" t="n">
        <v>1</v>
      </c>
      <c r="D30" s="7" t="n">
        <v>1</v>
      </c>
      <c r="E30" s="15" t="n">
        <v>0.6</v>
      </c>
      <c r="F30" s="8" t="n">
        <f aca="false">E30*(C30+D30)/2</f>
        <v>0.6</v>
      </c>
      <c r="G30" s="4" t="n">
        <f aca="false">INDEX(Items!$F:$F,MATCH(B30,Items!$A:$A,0))</f>
        <v>4</v>
      </c>
      <c r="H30" s="8" t="n">
        <f aca="false">F30*G30</f>
        <v>2.4</v>
      </c>
    </row>
    <row r="31" customFormat="false" ht="15" hidden="false" customHeight="false" outlineLevel="0" collapsed="false">
      <c r="A31" s="4" t="s">
        <v>162</v>
      </c>
      <c r="B31" s="4" t="s">
        <v>553</v>
      </c>
      <c r="C31" s="7" t="n">
        <v>1</v>
      </c>
      <c r="D31" s="7" t="n">
        <v>1</v>
      </c>
      <c r="E31" s="15" t="n">
        <v>0.6</v>
      </c>
      <c r="F31" s="8" t="n">
        <f aca="false">E31*(C31+D31)/2</f>
        <v>0.6</v>
      </c>
      <c r="G31" s="4" t="n">
        <f aca="false">INDEX(Items!$F:$F,MATCH(B31,Items!$A:$A,0))</f>
        <v>2</v>
      </c>
      <c r="H31" s="8" t="n">
        <f aca="false">F31*G31</f>
        <v>1.2</v>
      </c>
    </row>
    <row r="32" customFormat="false" ht="15" hidden="false" customHeight="false" outlineLevel="0" collapsed="false">
      <c r="A32" s="4" t="s">
        <v>162</v>
      </c>
      <c r="B32" s="4" t="s">
        <v>546</v>
      </c>
      <c r="C32" s="7" t="n">
        <v>1</v>
      </c>
      <c r="D32" s="7" t="n">
        <v>1</v>
      </c>
      <c r="E32" s="15" t="n">
        <v>0.4</v>
      </c>
      <c r="F32" s="8" t="n">
        <f aca="false">E32*(C32+D32)/2</f>
        <v>0.4</v>
      </c>
      <c r="G32" s="4" t="n">
        <f aca="false">INDEX(Items!$F:$F,MATCH(B32,Items!$A:$A,0))</f>
        <v>1</v>
      </c>
      <c r="H32" s="8" t="n">
        <f aca="false">F32*G32</f>
        <v>0.4</v>
      </c>
    </row>
    <row r="33" customFormat="false" ht="15" hidden="false" customHeight="false" outlineLevel="0" collapsed="false">
      <c r="A33" s="4" t="s">
        <v>170</v>
      </c>
      <c r="B33" s="4" t="s">
        <v>546</v>
      </c>
      <c r="C33" s="7" t="n">
        <v>2</v>
      </c>
      <c r="D33" s="7" t="n">
        <v>3</v>
      </c>
      <c r="E33" s="15" t="n">
        <v>1</v>
      </c>
      <c r="F33" s="8" t="n">
        <f aca="false">E33*(C33+D33)/2</f>
        <v>2.5</v>
      </c>
      <c r="G33" s="4" t="n">
        <f aca="false">INDEX(Items!$F:$F,MATCH(B33,Items!$A:$A,0))</f>
        <v>1</v>
      </c>
      <c r="H33" s="8" t="n">
        <f aca="false">F33*G33</f>
        <v>2.5</v>
      </c>
    </row>
    <row r="34" customFormat="false" ht="15" hidden="false" customHeight="false" outlineLevel="0" collapsed="false">
      <c r="A34" s="4" t="s">
        <v>173</v>
      </c>
      <c r="B34" s="4" t="s">
        <v>550</v>
      </c>
      <c r="C34" s="7" t="n">
        <v>1</v>
      </c>
      <c r="D34" s="7" t="n">
        <v>2</v>
      </c>
      <c r="E34" s="15" t="n">
        <v>1</v>
      </c>
      <c r="F34" s="8" t="n">
        <f aca="false">E34*(C34+D34)/2</f>
        <v>1.5</v>
      </c>
      <c r="G34" s="4" t="n">
        <f aca="false">INDEX(Items!$F:$F,MATCH(B34,Items!$A:$A,0))</f>
        <v>2</v>
      </c>
      <c r="H34" s="8" t="n">
        <f aca="false">F34*G34</f>
        <v>3</v>
      </c>
    </row>
    <row r="35" customFormat="false" ht="15" hidden="false" customHeight="false" outlineLevel="0" collapsed="false">
      <c r="A35" s="4" t="s">
        <v>294</v>
      </c>
      <c r="B35" s="4" t="s">
        <v>546</v>
      </c>
      <c r="C35" s="7" t="n">
        <v>1</v>
      </c>
      <c r="D35" s="7" t="n">
        <v>2</v>
      </c>
      <c r="E35" s="15" t="n">
        <v>1</v>
      </c>
      <c r="F35" s="8" t="n">
        <f aca="false">E35*(C35+D35)/2</f>
        <v>1.5</v>
      </c>
      <c r="G35" s="4" t="n">
        <f aca="false">INDEX(Items!$F:$F,MATCH(B35,Items!$A:$A,0))</f>
        <v>1</v>
      </c>
      <c r="H35" s="8" t="n">
        <f aca="false">F35*G35</f>
        <v>1.5</v>
      </c>
    </row>
    <row r="36" customFormat="false" ht="15" hidden="false" customHeight="false" outlineLevel="0" collapsed="false">
      <c r="A36" s="4" t="s">
        <v>294</v>
      </c>
      <c r="B36" s="4" t="s">
        <v>551</v>
      </c>
      <c r="C36" s="7" t="n">
        <v>1</v>
      </c>
      <c r="D36" s="7" t="n">
        <v>2</v>
      </c>
      <c r="E36" s="15" t="n">
        <v>0.7</v>
      </c>
      <c r="F36" s="8" t="n">
        <f aca="false">E36*(C36+D36)/2</f>
        <v>1.05</v>
      </c>
      <c r="G36" s="4" t="n">
        <f aca="false">INDEX(Items!$F:$F,MATCH(B36,Items!$A:$A,0))</f>
        <v>2</v>
      </c>
      <c r="H36" s="8" t="n">
        <f aca="false">F36*G36</f>
        <v>2.1</v>
      </c>
    </row>
    <row r="37" customFormat="false" ht="15" hidden="false" customHeight="false" outlineLevel="0" collapsed="false">
      <c r="A37" s="4" t="s">
        <v>302</v>
      </c>
      <c r="B37" s="4" t="s">
        <v>552</v>
      </c>
      <c r="C37" s="7" t="n">
        <v>1</v>
      </c>
      <c r="D37" s="7" t="n">
        <v>1</v>
      </c>
      <c r="E37" s="15" t="n">
        <v>0.6</v>
      </c>
      <c r="F37" s="8" t="n">
        <f aca="false">E37*(C37+D37)/2</f>
        <v>0.6</v>
      </c>
      <c r="G37" s="4" t="n">
        <f aca="false">INDEX(Items!$F:$F,MATCH(B37,Items!$A:$A,0))</f>
        <v>3</v>
      </c>
      <c r="H37" s="8" t="n">
        <f aca="false">F37*G37</f>
        <v>1.8</v>
      </c>
    </row>
    <row r="38" customFormat="false" ht="15" hidden="false" customHeight="false" outlineLevel="0" collapsed="false">
      <c r="A38" s="4" t="s">
        <v>302</v>
      </c>
      <c r="B38" s="4" t="s">
        <v>545</v>
      </c>
      <c r="C38" s="7" t="n">
        <v>1</v>
      </c>
      <c r="D38" s="7" t="n">
        <v>1</v>
      </c>
      <c r="E38" s="15" t="n">
        <v>0.4</v>
      </c>
      <c r="F38" s="8" t="n">
        <f aca="false">E38*(C38+D38)/2</f>
        <v>0.4</v>
      </c>
      <c r="G38" s="4" t="n">
        <f aca="false">INDEX(Items!$F:$F,MATCH(B38,Items!$A:$A,0))</f>
        <v>2</v>
      </c>
      <c r="H38" s="8" t="n">
        <f aca="false">F38*G38</f>
        <v>0.8</v>
      </c>
    </row>
    <row r="39" customFormat="false" ht="15" hidden="false" customHeight="false" outlineLevel="0" collapsed="false">
      <c r="A39" s="4" t="s">
        <v>306</v>
      </c>
      <c r="B39" s="4" t="s">
        <v>551</v>
      </c>
      <c r="C39" s="7" t="n">
        <v>1</v>
      </c>
      <c r="D39" s="7" t="n">
        <v>3</v>
      </c>
      <c r="E39" s="15" t="n">
        <v>1</v>
      </c>
      <c r="F39" s="8" t="n">
        <f aca="false">E39*(C39+D39)/2</f>
        <v>2</v>
      </c>
      <c r="G39" s="4" t="n">
        <f aca="false">INDEX(Items!$F:$F,MATCH(B39,Items!$A:$A,0))</f>
        <v>2</v>
      </c>
      <c r="H39" s="8" t="n">
        <f aca="false">F39*G39</f>
        <v>4</v>
      </c>
    </row>
    <row r="40" customFormat="false" ht="15" hidden="false" customHeight="false" outlineLevel="0" collapsed="false">
      <c r="A40" s="4" t="s">
        <v>309</v>
      </c>
      <c r="B40" s="4" t="s">
        <v>555</v>
      </c>
      <c r="C40" s="7" t="n">
        <v>1</v>
      </c>
      <c r="D40" s="7" t="n">
        <v>2</v>
      </c>
      <c r="E40" s="15" t="n">
        <v>0.8</v>
      </c>
      <c r="F40" s="8" t="n">
        <f aca="false">E40*(C40+D40)/2</f>
        <v>1.2</v>
      </c>
      <c r="G40" s="4" t="n">
        <f aca="false">INDEX(Items!$F:$F,MATCH(B40,Items!$A:$A,0))</f>
        <v>3</v>
      </c>
      <c r="H40" s="8" t="n">
        <f aca="false">F40*G40</f>
        <v>3.6</v>
      </c>
    </row>
    <row r="41" customFormat="false" ht="15" hidden="false" customHeight="false" outlineLevel="0" collapsed="false">
      <c r="A41" s="4" t="s">
        <v>309</v>
      </c>
      <c r="B41" s="4" t="s">
        <v>546</v>
      </c>
      <c r="C41" s="7" t="n">
        <v>1</v>
      </c>
      <c r="D41" s="7" t="n">
        <v>1</v>
      </c>
      <c r="E41" s="15" t="n">
        <v>1</v>
      </c>
      <c r="F41" s="8" t="n">
        <f aca="false">E41*(C41+D41)/2</f>
        <v>1</v>
      </c>
      <c r="G41" s="4" t="n">
        <f aca="false">INDEX(Items!$F:$F,MATCH(B41,Items!$A:$A,0))</f>
        <v>1</v>
      </c>
      <c r="H41" s="8" t="n">
        <f aca="false">F41*G41</f>
        <v>1</v>
      </c>
    </row>
    <row r="42" customFormat="false" ht="15" hidden="false" customHeight="false" outlineLevel="0" collapsed="false">
      <c r="A42" s="4" t="s">
        <v>313</v>
      </c>
      <c r="B42" s="4" t="s">
        <v>553</v>
      </c>
      <c r="C42" s="7" t="n">
        <v>1</v>
      </c>
      <c r="D42" s="7" t="n">
        <v>1</v>
      </c>
      <c r="E42" s="15" t="n">
        <v>0.5</v>
      </c>
      <c r="F42" s="8" t="n">
        <f aca="false">E42*(C42+D42)/2</f>
        <v>0.5</v>
      </c>
      <c r="G42" s="4" t="n">
        <f aca="false">INDEX(Items!$F:$F,MATCH(B42,Items!$A:$A,0))</f>
        <v>2</v>
      </c>
      <c r="H42" s="8" t="n">
        <f aca="false">F42*G42</f>
        <v>1</v>
      </c>
    </row>
    <row r="43" customFormat="false" ht="15" hidden="false" customHeight="false" outlineLevel="0" collapsed="false">
      <c r="A43" s="4" t="s">
        <v>316</v>
      </c>
      <c r="B43" s="4" t="s">
        <v>555</v>
      </c>
      <c r="C43" s="7" t="n">
        <v>2</v>
      </c>
      <c r="D43" s="7" t="n">
        <v>3</v>
      </c>
      <c r="E43" s="15" t="n">
        <v>1</v>
      </c>
      <c r="F43" s="8" t="n">
        <f aca="false">E43*(C43+D43)/2</f>
        <v>2.5</v>
      </c>
      <c r="G43" s="4" t="n">
        <f aca="false">INDEX(Items!$F:$F,MATCH(B43,Items!$A:$A,0))</f>
        <v>3</v>
      </c>
      <c r="H43" s="8" t="n">
        <f aca="false">F43*G43</f>
        <v>7.5</v>
      </c>
    </row>
    <row r="44" customFormat="false" ht="15" hidden="false" customHeight="false" outlineLevel="0" collapsed="false">
      <c r="A44" s="4" t="s">
        <v>322</v>
      </c>
      <c r="B44" s="4" t="s">
        <v>546</v>
      </c>
      <c r="C44" s="7" t="n">
        <v>2</v>
      </c>
      <c r="D44" s="7" t="n">
        <v>3</v>
      </c>
      <c r="E44" s="15" t="n">
        <v>1</v>
      </c>
      <c r="F44" s="8" t="n">
        <f aca="false">E44*(C44+D44)/2</f>
        <v>2.5</v>
      </c>
      <c r="G44" s="4" t="n">
        <f aca="false">INDEX(Items!$F:$F,MATCH(B44,Items!$A:$A,0))</f>
        <v>1</v>
      </c>
      <c r="H44" s="8" t="n">
        <f aca="false">F44*G44</f>
        <v>2.5</v>
      </c>
    </row>
    <row r="45" customFormat="false" ht="15" hidden="false" customHeight="false" outlineLevel="0" collapsed="false">
      <c r="A45" s="4" t="s">
        <v>326</v>
      </c>
      <c r="B45" s="4" t="s">
        <v>552</v>
      </c>
      <c r="C45" s="7" t="n">
        <v>1</v>
      </c>
      <c r="D45" s="7" t="n">
        <v>1</v>
      </c>
      <c r="E45" s="15" t="n">
        <v>0.7</v>
      </c>
      <c r="F45" s="8" t="n">
        <f aca="false">E45*(C45+D45)/2</f>
        <v>0.7</v>
      </c>
      <c r="G45" s="4" t="n">
        <f aca="false">INDEX(Items!$F:$F,MATCH(B45,Items!$A:$A,0))</f>
        <v>3</v>
      </c>
      <c r="H45" s="8" t="n">
        <f aca="false">F45*G45</f>
        <v>2.1</v>
      </c>
    </row>
    <row r="46" customFormat="false" ht="15" hidden="false" customHeight="false" outlineLevel="0" collapsed="false">
      <c r="A46" s="4" t="s">
        <v>326</v>
      </c>
      <c r="B46" s="4" t="s">
        <v>555</v>
      </c>
      <c r="C46" s="7" t="n">
        <v>1</v>
      </c>
      <c r="D46" s="7" t="n">
        <v>2</v>
      </c>
      <c r="E46" s="15" t="n">
        <v>0.6</v>
      </c>
      <c r="F46" s="8" t="n">
        <f aca="false">E46*(C46+D46)/2</f>
        <v>0.9</v>
      </c>
      <c r="G46" s="4" t="n">
        <f aca="false">INDEX(Items!$F:$F,MATCH(B46,Items!$A:$A,0))</f>
        <v>3</v>
      </c>
      <c r="H46" s="8" t="n">
        <f aca="false">F46*G46</f>
        <v>2.7</v>
      </c>
    </row>
    <row r="47" customFormat="false" ht="15" hidden="false" customHeight="false" outlineLevel="0" collapsed="false">
      <c r="A47" s="4" t="s">
        <v>329</v>
      </c>
      <c r="B47" s="4" t="s">
        <v>553</v>
      </c>
      <c r="C47" s="7" t="n">
        <v>1</v>
      </c>
      <c r="D47" s="7" t="n">
        <v>2</v>
      </c>
      <c r="E47" s="15" t="n">
        <v>0.7</v>
      </c>
      <c r="F47" s="8" t="n">
        <f aca="false">E47*(C47+D47)/2</f>
        <v>1.05</v>
      </c>
      <c r="G47" s="4" t="n">
        <f aca="false">INDEX(Items!$F:$F,MATCH(B47,Items!$A:$A,0))</f>
        <v>2</v>
      </c>
      <c r="H47" s="8" t="n">
        <f aca="false">F47*G47</f>
        <v>2.1</v>
      </c>
    </row>
    <row r="48" customFormat="false" ht="15" hidden="false" customHeight="false" outlineLevel="0" collapsed="false">
      <c r="A48" s="4" t="s">
        <v>329</v>
      </c>
      <c r="B48" s="4" t="s">
        <v>546</v>
      </c>
      <c r="C48" s="7" t="n">
        <v>1</v>
      </c>
      <c r="D48" s="7" t="n">
        <v>2</v>
      </c>
      <c r="E48" s="15" t="n">
        <v>1</v>
      </c>
      <c r="F48" s="8" t="n">
        <f aca="false">E48*(C48+D48)/2</f>
        <v>1.5</v>
      </c>
      <c r="G48" s="4" t="n">
        <f aca="false">INDEX(Items!$F:$F,MATCH(B48,Items!$A:$A,0))</f>
        <v>1</v>
      </c>
      <c r="H48" s="8" t="n">
        <f aca="false">F48*G48</f>
        <v>1.5</v>
      </c>
    </row>
    <row r="49" customFormat="false" ht="15" hidden="false" customHeight="false" outlineLevel="0" collapsed="false">
      <c r="A49" s="4" t="s">
        <v>332</v>
      </c>
      <c r="B49" s="4" t="s">
        <v>549</v>
      </c>
      <c r="C49" s="7" t="n">
        <v>1</v>
      </c>
      <c r="D49" s="7" t="n">
        <v>2</v>
      </c>
      <c r="E49" s="15" t="n">
        <v>1</v>
      </c>
      <c r="F49" s="8" t="n">
        <f aca="false">E49*(C49+D49)/2</f>
        <v>1.5</v>
      </c>
      <c r="G49" s="4" t="n">
        <f aca="false">INDEX(Items!$F:$F,MATCH(B49,Items!$A:$A,0))</f>
        <v>4</v>
      </c>
      <c r="H49" s="8" t="n">
        <f aca="false">F49*G49</f>
        <v>6</v>
      </c>
    </row>
    <row r="50" customFormat="false" ht="15" hidden="false" customHeight="false" outlineLevel="0" collapsed="false">
      <c r="A50" s="4" t="s">
        <v>332</v>
      </c>
      <c r="B50" s="4" t="s">
        <v>552</v>
      </c>
      <c r="C50" s="7" t="n">
        <v>1</v>
      </c>
      <c r="D50" s="7" t="n">
        <v>1</v>
      </c>
      <c r="E50" s="15" t="n">
        <v>0.4</v>
      </c>
      <c r="F50" s="8" t="n">
        <f aca="false">E50*(C50+D50)/2</f>
        <v>0.4</v>
      </c>
      <c r="G50" s="4" t="n">
        <f aca="false">INDEX(Items!$F:$F,MATCH(B50,Items!$A:$A,0))</f>
        <v>3</v>
      </c>
      <c r="H50" s="8" t="n">
        <f aca="false">F50*G50</f>
        <v>1.2</v>
      </c>
    </row>
    <row r="51" customFormat="false" ht="15" hidden="false" customHeight="false" outlineLevel="0" collapsed="false">
      <c r="A51" s="4" t="s">
        <v>337</v>
      </c>
      <c r="B51" s="4" t="s">
        <v>556</v>
      </c>
      <c r="C51" s="7" t="n">
        <v>1</v>
      </c>
      <c r="D51" s="7" t="n">
        <v>1</v>
      </c>
      <c r="E51" s="15" t="n">
        <v>0.7</v>
      </c>
      <c r="F51" s="8" t="n">
        <f aca="false">E51*(C51+D51)/2</f>
        <v>0.7</v>
      </c>
      <c r="G51" s="4" t="n">
        <f aca="false">INDEX(Items!$F:$F,MATCH(B51,Items!$A:$A,0))</f>
        <v>3</v>
      </c>
      <c r="H51" s="8" t="n">
        <f aca="false">F51*G51</f>
        <v>2.1</v>
      </c>
    </row>
    <row r="52" customFormat="false" ht="15" hidden="false" customHeight="false" outlineLevel="0" collapsed="false">
      <c r="A52" s="4" t="s">
        <v>337</v>
      </c>
      <c r="B52" s="4" t="s">
        <v>545</v>
      </c>
      <c r="C52" s="7" t="n">
        <v>1</v>
      </c>
      <c r="D52" s="7" t="n">
        <v>2</v>
      </c>
      <c r="E52" s="15" t="n">
        <v>1</v>
      </c>
      <c r="F52" s="8" t="n">
        <f aca="false">E52*(C52+D52)/2</f>
        <v>1.5</v>
      </c>
      <c r="G52" s="4" t="n">
        <f aca="false">INDEX(Items!$F:$F,MATCH(B52,Items!$A:$A,0))</f>
        <v>2</v>
      </c>
      <c r="H52" s="8" t="n">
        <f aca="false">F52*G52</f>
        <v>3</v>
      </c>
    </row>
    <row r="53" customFormat="false" ht="15" hidden="false" customHeight="false" outlineLevel="0" collapsed="false">
      <c r="A53" s="4" t="s">
        <v>354</v>
      </c>
      <c r="B53" s="4" t="s">
        <v>551</v>
      </c>
      <c r="C53" s="7" t="n">
        <v>1</v>
      </c>
      <c r="D53" s="7" t="n">
        <v>2</v>
      </c>
      <c r="E53" s="15" t="n">
        <v>0.6</v>
      </c>
      <c r="F53" s="8" t="n">
        <f aca="false">E53*(C53+D53)/2</f>
        <v>0.9</v>
      </c>
      <c r="G53" s="4" t="n">
        <f aca="false">INDEX(Items!$F:$F,MATCH(B53,Items!$A:$A,0))</f>
        <v>2</v>
      </c>
      <c r="H53" s="8" t="n">
        <f aca="false">F53*G53</f>
        <v>1.8</v>
      </c>
    </row>
    <row r="54" customFormat="false" ht="15" hidden="false" customHeight="false" outlineLevel="0" collapsed="false">
      <c r="A54" s="4" t="s">
        <v>362</v>
      </c>
      <c r="B54" s="4" t="s">
        <v>557</v>
      </c>
      <c r="C54" s="7" t="n">
        <v>1</v>
      </c>
      <c r="D54" s="7" t="n">
        <v>1</v>
      </c>
      <c r="E54" s="15" t="n">
        <v>0.3</v>
      </c>
      <c r="F54" s="8" t="n">
        <f aca="false">E54*(C54+D54)/2</f>
        <v>0.3</v>
      </c>
      <c r="G54" s="4" t="n">
        <f aca="false">INDEX(Items!$F:$F,MATCH(B54,Items!$A:$A,0))</f>
        <v>6</v>
      </c>
      <c r="H54" s="8" t="n">
        <f aca="false">F54*G54</f>
        <v>1.8</v>
      </c>
    </row>
    <row r="55" customFormat="false" ht="15" hidden="false" customHeight="false" outlineLevel="0" collapsed="false">
      <c r="A55" s="4" t="s">
        <v>362</v>
      </c>
      <c r="B55" s="4" t="s">
        <v>546</v>
      </c>
      <c r="C55" s="7" t="n">
        <v>1</v>
      </c>
      <c r="D55" s="7" t="n">
        <v>1</v>
      </c>
      <c r="E55" s="15" t="n">
        <v>1</v>
      </c>
      <c r="F55" s="8" t="n">
        <f aca="false">E55*(C55+D55)/2</f>
        <v>1</v>
      </c>
      <c r="G55" s="4" t="n">
        <f aca="false">INDEX(Items!$F:$F,MATCH(B55,Items!$A:$A,0))</f>
        <v>1</v>
      </c>
      <c r="H55" s="8" t="n">
        <f aca="false">F55*G55</f>
        <v>1</v>
      </c>
    </row>
    <row r="56" customFormat="false" ht="15" hidden="false" customHeight="false" outlineLevel="0" collapsed="false">
      <c r="A56" s="4" t="s">
        <v>365</v>
      </c>
      <c r="B56" s="4" t="s">
        <v>558</v>
      </c>
      <c r="C56" s="7" t="n">
        <v>1</v>
      </c>
      <c r="D56" s="7" t="n">
        <v>2</v>
      </c>
      <c r="E56" s="15" t="n">
        <v>1</v>
      </c>
      <c r="F56" s="8" t="n">
        <f aca="false">E56*(C56+D56)/2</f>
        <v>1.5</v>
      </c>
      <c r="G56" s="4" t="n">
        <f aca="false">INDEX(Items!$F:$F,MATCH(B56,Items!$A:$A,0))</f>
        <v>5</v>
      </c>
      <c r="H56" s="8" t="n">
        <f aca="false">F56*G56</f>
        <v>7.5</v>
      </c>
    </row>
    <row r="57" customFormat="false" ht="15" hidden="false" customHeight="false" outlineLevel="0" collapsed="false">
      <c r="A57" s="4" t="s">
        <v>369</v>
      </c>
      <c r="B57" s="4" t="s">
        <v>558</v>
      </c>
      <c r="C57" s="7" t="n">
        <v>1</v>
      </c>
      <c r="D57" s="7" t="n">
        <v>1</v>
      </c>
      <c r="E57" s="15" t="n">
        <v>1</v>
      </c>
      <c r="F57" s="8" t="n">
        <f aca="false">E57*(C57+D57)/2</f>
        <v>1</v>
      </c>
      <c r="G57" s="4" t="n">
        <f aca="false">INDEX(Items!$F:$F,MATCH(B57,Items!$A:$A,0))</f>
        <v>5</v>
      </c>
      <c r="H57" s="8" t="n">
        <f aca="false">F57*G57</f>
        <v>5</v>
      </c>
    </row>
    <row r="58" customFormat="false" ht="15" hidden="false" customHeight="false" outlineLevel="0" collapsed="false">
      <c r="A58" s="4" t="s">
        <v>369</v>
      </c>
      <c r="B58" s="4" t="s">
        <v>555</v>
      </c>
      <c r="C58" s="7" t="n">
        <v>1</v>
      </c>
      <c r="D58" s="7" t="n">
        <v>1</v>
      </c>
      <c r="E58" s="15" t="n">
        <v>0.5</v>
      </c>
      <c r="F58" s="8" t="n">
        <f aca="false">E58*(C58+D58)/2</f>
        <v>0.5</v>
      </c>
      <c r="G58" s="4" t="n">
        <f aca="false">INDEX(Items!$F:$F,MATCH(B58,Items!$A:$A,0))</f>
        <v>3</v>
      </c>
      <c r="H58" s="8" t="n">
        <f aca="false">F58*G58</f>
        <v>1.5</v>
      </c>
    </row>
    <row r="59" customFormat="false" ht="15" hidden="false" customHeight="false" outlineLevel="0" collapsed="false">
      <c r="A59" s="4" t="s">
        <v>372</v>
      </c>
      <c r="B59" s="4" t="s">
        <v>559</v>
      </c>
      <c r="C59" s="7" t="n">
        <v>1</v>
      </c>
      <c r="D59" s="7" t="n">
        <v>1</v>
      </c>
      <c r="E59" s="15" t="n">
        <v>0.5</v>
      </c>
      <c r="F59" s="8" t="n">
        <f aca="false">E59*(C59+D59)/2</f>
        <v>0.5</v>
      </c>
      <c r="G59" s="4" t="n">
        <f aca="false">INDEX(Items!$F:$F,MATCH(B59,Items!$A:$A,0))</f>
        <v>8</v>
      </c>
      <c r="H59" s="8" t="n">
        <f aca="false">F59*G59</f>
        <v>4</v>
      </c>
    </row>
    <row r="60" customFormat="false" ht="15" hidden="false" customHeight="false" outlineLevel="0" collapsed="false">
      <c r="A60" s="4" t="s">
        <v>560</v>
      </c>
      <c r="B60" s="4" t="s">
        <v>556</v>
      </c>
      <c r="C60" s="7" t="n">
        <v>1</v>
      </c>
      <c r="D60" s="7" t="n">
        <v>1</v>
      </c>
      <c r="E60" s="15" t="n">
        <v>0.75</v>
      </c>
      <c r="F60" s="8" t="n">
        <f aca="false">E60*(C60+D60)/2</f>
        <v>0.75</v>
      </c>
      <c r="G60" s="4" t="n">
        <f aca="false">INDEX(Items!$F:$F,MATCH(B60,Items!$A:$A,0))</f>
        <v>3</v>
      </c>
      <c r="H60" s="8" t="n">
        <f aca="false">F60*G60</f>
        <v>2.25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6" min="4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561</v>
      </c>
    </row>
    <row r="2" customFormat="false" ht="15" hidden="false" customHeight="false" outlineLevel="0" collapsed="false">
      <c r="A2" s="2" t="s">
        <v>562</v>
      </c>
    </row>
    <row r="4" customFormat="false" ht="31.5" hidden="false" customHeight="true" outlineLevel="0" collapsed="false">
      <c r="A4" s="5" t="s">
        <v>563</v>
      </c>
      <c r="B4" s="5" t="s">
        <v>564</v>
      </c>
      <c r="C4" s="5" t="s">
        <v>565</v>
      </c>
      <c r="D4" s="5" t="s">
        <v>566</v>
      </c>
      <c r="E4" s="5" t="s">
        <v>567</v>
      </c>
      <c r="F4" s="5" t="s">
        <v>568</v>
      </c>
      <c r="G4" s="5" t="s">
        <v>569</v>
      </c>
      <c r="H4" s="5" t="s">
        <v>570</v>
      </c>
      <c r="I4" s="5" t="s">
        <v>571</v>
      </c>
      <c r="J4" s="5" t="s">
        <v>572</v>
      </c>
    </row>
    <row r="5" customFormat="false" ht="15" hidden="false" customHeight="false" outlineLevel="0" collapsed="false">
      <c r="A5" s="4" t="s">
        <v>573</v>
      </c>
      <c r="B5" s="6" t="n">
        <v>0.25</v>
      </c>
      <c r="C5" s="6" t="n">
        <v>0</v>
      </c>
      <c r="D5" s="4" t="n">
        <f aca="false">IF(COUNTIFS($A$22:$A$54,$A5,$B$22:$B$54,"rare")&gt;0,1,0)</f>
        <v>1</v>
      </c>
      <c r="E5" s="4" t="n">
        <f aca="false">IF(COUNTIFS($A$22:$A$54,$A5,$B$22:$B$54,"uncommon")&gt;0,1,0)</f>
        <v>0</v>
      </c>
      <c r="F5" s="4" t="n">
        <f aca="false">IF(COUNTIFS($A$22:$A$54,$A5,$B$22:$B$54,"common")&gt;0,1,0)</f>
        <v>1</v>
      </c>
      <c r="G5" s="21" t="n">
        <f aca="false">IF(D5=1,MIN(B5,Tiers!$B$9),0)</f>
        <v>0.25</v>
      </c>
      <c r="H5" s="21" t="n">
        <f aca="false">IF(E5=1,(1-G5)*MIN(C5,Tiers!$B$9),0)</f>
        <v>0</v>
      </c>
      <c r="I5" s="21" t="n">
        <f aca="false">IF(F5=1,1-G5-H5,0)</f>
        <v>0.75</v>
      </c>
      <c r="J5" s="21" t="n">
        <f aca="false">1-G5-H5-I5</f>
        <v>0</v>
      </c>
    </row>
    <row r="6" customFormat="false" ht="15" hidden="false" customHeight="false" outlineLevel="0" collapsed="false">
      <c r="A6" s="4" t="s">
        <v>160</v>
      </c>
      <c r="B6" s="6" t="n">
        <v>0.02</v>
      </c>
      <c r="C6" s="6" t="n">
        <v>0.15</v>
      </c>
      <c r="D6" s="4" t="n">
        <f aca="false">IF(COUNTIFS($A$22:$A$54,$A6,$B$22:$B$54,"rare")&gt;0,1,0)</f>
        <v>1</v>
      </c>
      <c r="E6" s="4" t="n">
        <f aca="false">IF(COUNTIFS($A$22:$A$54,$A6,$B$22:$B$54,"uncommon")&gt;0,1,0)</f>
        <v>1</v>
      </c>
      <c r="F6" s="4" t="n">
        <f aca="false">IF(COUNTIFS($A$22:$A$54,$A6,$B$22:$B$54,"common")&gt;0,1,0)</f>
        <v>0</v>
      </c>
      <c r="G6" s="21" t="n">
        <f aca="false">IF(D6=1,MIN(B6,Tiers!$B$9),0)</f>
        <v>0.02</v>
      </c>
      <c r="H6" s="21" t="n">
        <f aca="false">IF(E6=1,(1-G6)*MIN(C6,Tiers!$B$9),0)</f>
        <v>0.147</v>
      </c>
      <c r="I6" s="21" t="n">
        <f aca="false">IF(F6=1,1-G6-H6,0)</f>
        <v>0</v>
      </c>
      <c r="J6" s="21" t="n">
        <f aca="false">1-G6-H6-I6</f>
        <v>0.833</v>
      </c>
    </row>
    <row r="7" customFormat="false" ht="15" hidden="false" customHeight="false" outlineLevel="0" collapsed="false">
      <c r="A7" s="4" t="s">
        <v>215</v>
      </c>
      <c r="B7" s="6" t="n">
        <v>0.02</v>
      </c>
      <c r="C7" s="6" t="n">
        <v>0.2</v>
      </c>
      <c r="D7" s="4" t="n">
        <f aca="false">IF(COUNTIFS($A$22:$A$54,$A7,$B$22:$B$54,"rare")&gt;0,1,0)</f>
        <v>1</v>
      </c>
      <c r="E7" s="4" t="n">
        <f aca="false">IF(COUNTIFS($A$22:$A$54,$A7,$B$22:$B$54,"uncommon")&gt;0,1,0)</f>
        <v>1</v>
      </c>
      <c r="F7" s="4" t="n">
        <f aca="false">IF(COUNTIFS($A$22:$A$54,$A7,$B$22:$B$54,"common")&gt;0,1,0)</f>
        <v>0</v>
      </c>
      <c r="G7" s="21" t="n">
        <f aca="false">IF(D7=1,MIN(B7,Tiers!$B$9),0)</f>
        <v>0.02</v>
      </c>
      <c r="H7" s="21" t="n">
        <f aca="false">IF(E7=1,(1-G7)*MIN(C7,Tiers!$B$9),0)</f>
        <v>0.196</v>
      </c>
      <c r="I7" s="21" t="n">
        <f aca="false">IF(F7=1,1-G7-H7,0)</f>
        <v>0</v>
      </c>
      <c r="J7" s="21" t="n">
        <f aca="false">1-G7-H7-I7</f>
        <v>0.784</v>
      </c>
    </row>
    <row r="8" customFormat="false" ht="15" hidden="false" customHeight="false" outlineLevel="0" collapsed="false">
      <c r="A8" s="4" t="s">
        <v>299</v>
      </c>
      <c r="B8" s="6" t="n">
        <v>0.04</v>
      </c>
      <c r="C8" s="6" t="n">
        <v>0.25</v>
      </c>
      <c r="D8" s="4" t="n">
        <f aca="false">IF(COUNTIFS($A$22:$A$54,$A8,$B$22:$B$54,"rare")&gt;0,1,0)</f>
        <v>1</v>
      </c>
      <c r="E8" s="4" t="n">
        <f aca="false">IF(COUNTIFS($A$22:$A$54,$A8,$B$22:$B$54,"uncommon")&gt;0,1,0)</f>
        <v>1</v>
      </c>
      <c r="F8" s="4" t="n">
        <f aca="false">IF(COUNTIFS($A$22:$A$54,$A8,$B$22:$B$54,"common")&gt;0,1,0)</f>
        <v>0</v>
      </c>
      <c r="G8" s="21" t="n">
        <f aca="false">IF(D8=1,MIN(B8,Tiers!$B$9),0)</f>
        <v>0.04</v>
      </c>
      <c r="H8" s="21" t="n">
        <f aca="false">IF(E8=1,(1-G8)*MIN(C8,Tiers!$B$9),0)</f>
        <v>0.24</v>
      </c>
      <c r="I8" s="21" t="n">
        <f aca="false">IF(F8=1,1-G8-H8,0)</f>
        <v>0</v>
      </c>
      <c r="J8" s="21" t="n">
        <f aca="false">1-G8-H8-I8</f>
        <v>0.72</v>
      </c>
    </row>
    <row r="9" customFormat="false" ht="15" hidden="false" customHeight="false" outlineLevel="0" collapsed="false">
      <c r="A9" s="4" t="s">
        <v>223</v>
      </c>
      <c r="B9" s="6" t="n">
        <v>0</v>
      </c>
      <c r="C9" s="6" t="n">
        <v>0.25</v>
      </c>
      <c r="D9" s="4" t="n">
        <f aca="false">IF(COUNTIFS($A$22:$A$54,$A9,$B$22:$B$54,"rare")&gt;0,1,0)</f>
        <v>0</v>
      </c>
      <c r="E9" s="4" t="n">
        <f aca="false">IF(COUNTIFS($A$22:$A$54,$A9,$B$22:$B$54,"uncommon")&gt;0,1,0)</f>
        <v>1</v>
      </c>
      <c r="F9" s="4" t="n">
        <f aca="false">IF(COUNTIFS($A$22:$A$54,$A9,$B$22:$B$54,"common")&gt;0,1,0)</f>
        <v>1</v>
      </c>
      <c r="G9" s="21" t="n">
        <f aca="false">IF(D9=1,MIN(B9,Tiers!$B$9),0)</f>
        <v>0</v>
      </c>
      <c r="H9" s="21" t="n">
        <f aca="false">IF(E9=1,(1-G9)*MIN(C9,Tiers!$B$9),0)</f>
        <v>0.25</v>
      </c>
      <c r="I9" s="21" t="n">
        <f aca="false">IF(F9=1,1-G9-H9,0)</f>
        <v>0.75</v>
      </c>
      <c r="J9" s="21" t="n">
        <f aca="false">1-G9-H9-I9</f>
        <v>0</v>
      </c>
    </row>
    <row r="10" customFormat="false" ht="15" hidden="false" customHeight="false" outlineLevel="0" collapsed="false">
      <c r="A10" s="4" t="s">
        <v>238</v>
      </c>
      <c r="B10" s="6" t="n">
        <v>0.03</v>
      </c>
      <c r="C10" s="6" t="n">
        <v>0.15</v>
      </c>
      <c r="D10" s="4" t="n">
        <f aca="false">IF(COUNTIFS($A$22:$A$54,$A10,$B$22:$B$54,"rare")&gt;0,1,0)</f>
        <v>1</v>
      </c>
      <c r="E10" s="4" t="n">
        <f aca="false">IF(COUNTIFS($A$22:$A$54,$A10,$B$22:$B$54,"uncommon")&gt;0,1,0)</f>
        <v>1</v>
      </c>
      <c r="F10" s="4" t="n">
        <f aca="false">IF(COUNTIFS($A$22:$A$54,$A10,$B$22:$B$54,"common")&gt;0,1,0)</f>
        <v>0</v>
      </c>
      <c r="G10" s="21" t="n">
        <f aca="false">IF(D10=1,MIN(B10,Tiers!$B$9),0)</f>
        <v>0.03</v>
      </c>
      <c r="H10" s="21" t="n">
        <f aca="false">IF(E10=1,(1-G10)*MIN(C10,Tiers!$B$9),0)</f>
        <v>0.1455</v>
      </c>
      <c r="I10" s="21" t="n">
        <f aca="false">IF(F10=1,1-G10-H10,0)</f>
        <v>0</v>
      </c>
      <c r="J10" s="21" t="n">
        <f aca="false">1-G10-H10-I10</f>
        <v>0.8245</v>
      </c>
    </row>
    <row r="11" customFormat="false" ht="15" hidden="false" customHeight="false" outlineLevel="0" collapsed="false">
      <c r="A11" s="4" t="s">
        <v>251</v>
      </c>
      <c r="B11" s="6" t="n">
        <v>0.06</v>
      </c>
      <c r="C11" s="6" t="n">
        <v>0.35</v>
      </c>
      <c r="D11" s="4" t="n">
        <f aca="false">IF(COUNTIFS($A$22:$A$54,$A11,$B$22:$B$54,"rare")&gt;0,1,0)</f>
        <v>1</v>
      </c>
      <c r="E11" s="4" t="n">
        <f aca="false">IF(COUNTIFS($A$22:$A$54,$A11,$B$22:$B$54,"uncommon")&gt;0,1,0)</f>
        <v>1</v>
      </c>
      <c r="F11" s="4" t="n">
        <f aca="false">IF(COUNTIFS($A$22:$A$54,$A11,$B$22:$B$54,"common")&gt;0,1,0)</f>
        <v>0</v>
      </c>
      <c r="G11" s="21" t="n">
        <f aca="false">IF(D11=1,MIN(B11,Tiers!$B$9),0)</f>
        <v>0.06</v>
      </c>
      <c r="H11" s="21" t="n">
        <f aca="false">IF(E11=1,(1-G11)*MIN(C11,Tiers!$B$9),0)</f>
        <v>0.329</v>
      </c>
      <c r="I11" s="21" t="n">
        <f aca="false">IF(F11=1,1-G11-H11,0)</f>
        <v>0</v>
      </c>
      <c r="J11" s="21" t="n">
        <f aca="false">1-G11-H11-I11</f>
        <v>0.611</v>
      </c>
    </row>
    <row r="12" customFormat="false" ht="15" hidden="false" customHeight="false" outlineLevel="0" collapsed="false">
      <c r="A12" s="4" t="s">
        <v>156</v>
      </c>
      <c r="B12" s="6" t="n">
        <v>0.02</v>
      </c>
      <c r="C12" s="6" t="n">
        <v>0.3</v>
      </c>
      <c r="D12" s="4" t="n">
        <f aca="false">IF(COUNTIFS($A$22:$A$54,$A12,$B$22:$B$54,"rare")&gt;0,1,0)</f>
        <v>1</v>
      </c>
      <c r="E12" s="4" t="n">
        <f aca="false">IF(COUNTIFS($A$22:$A$54,$A12,$B$22:$B$54,"uncommon")&gt;0,1,0)</f>
        <v>1</v>
      </c>
      <c r="F12" s="4" t="n">
        <f aca="false">IF(COUNTIFS($A$22:$A$54,$A12,$B$22:$B$54,"common")&gt;0,1,0)</f>
        <v>0</v>
      </c>
      <c r="G12" s="21" t="n">
        <f aca="false">IF(D12=1,MIN(B12,Tiers!$B$9),0)</f>
        <v>0.02</v>
      </c>
      <c r="H12" s="21" t="n">
        <f aca="false">IF(E12=1,(1-G12)*MIN(C12,Tiers!$B$9),0)</f>
        <v>0.294</v>
      </c>
      <c r="I12" s="21" t="n">
        <f aca="false">IF(F12=1,1-G12-H12,0)</f>
        <v>0</v>
      </c>
      <c r="J12" s="21" t="n">
        <f aca="false">1-G12-H12-I12</f>
        <v>0.686</v>
      </c>
    </row>
    <row r="13" customFormat="false" ht="15" hidden="false" customHeight="false" outlineLevel="0" collapsed="false">
      <c r="A13" s="4" t="s">
        <v>367</v>
      </c>
      <c r="B13" s="6" t="n">
        <v>0.03</v>
      </c>
      <c r="C13" s="6" t="n">
        <v>0.3</v>
      </c>
      <c r="D13" s="4" t="n">
        <f aca="false">IF(COUNTIFS($A$22:$A$54,$A13,$B$22:$B$54,"rare")&gt;0,1,0)</f>
        <v>1</v>
      </c>
      <c r="E13" s="4" t="n">
        <f aca="false">IF(COUNTIFS($A$22:$A$54,$A13,$B$22:$B$54,"uncommon")&gt;0,1,0)</f>
        <v>1</v>
      </c>
      <c r="F13" s="4" t="n">
        <f aca="false">IF(COUNTIFS($A$22:$A$54,$A13,$B$22:$B$54,"common")&gt;0,1,0)</f>
        <v>0</v>
      </c>
      <c r="G13" s="21" t="n">
        <f aca="false">IF(D13=1,MIN(B13,Tiers!$B$9),0)</f>
        <v>0.03</v>
      </c>
      <c r="H13" s="21" t="n">
        <f aca="false">IF(E13=1,(1-G13)*MIN(C13,Tiers!$B$9),0)</f>
        <v>0.291</v>
      </c>
      <c r="I13" s="21" t="n">
        <f aca="false">IF(F13=1,1-G13-H13,0)</f>
        <v>0</v>
      </c>
      <c r="J13" s="21" t="n">
        <f aca="false">1-G13-H13-I13</f>
        <v>0.679</v>
      </c>
    </row>
    <row r="14" customFormat="false" ht="15" hidden="false" customHeight="false" outlineLevel="0" collapsed="false">
      <c r="A14" s="4" t="s">
        <v>276</v>
      </c>
      <c r="B14" s="6" t="n">
        <v>0.03</v>
      </c>
      <c r="C14" s="6" t="n">
        <v>0.25</v>
      </c>
      <c r="D14" s="4" t="n">
        <f aca="false">IF(COUNTIFS($A$22:$A$54,$A14,$B$22:$B$54,"rare")&gt;0,1,0)</f>
        <v>1</v>
      </c>
      <c r="E14" s="4" t="n">
        <f aca="false">IF(COUNTIFS($A$22:$A$54,$A14,$B$22:$B$54,"uncommon")&gt;0,1,0)</f>
        <v>1</v>
      </c>
      <c r="F14" s="4" t="n">
        <f aca="false">IF(COUNTIFS($A$22:$A$54,$A14,$B$22:$B$54,"common")&gt;0,1,0)</f>
        <v>0</v>
      </c>
      <c r="G14" s="21" t="n">
        <f aca="false">IF(D14=1,MIN(B14,Tiers!$B$9),0)</f>
        <v>0.03</v>
      </c>
      <c r="H14" s="21" t="n">
        <f aca="false">IF(E14=1,(1-G14)*MIN(C14,Tiers!$B$9),0)</f>
        <v>0.2425</v>
      </c>
      <c r="I14" s="21" t="n">
        <f aca="false">IF(F14=1,1-G14-H14,0)</f>
        <v>0</v>
      </c>
      <c r="J14" s="21" t="n">
        <f aca="false">1-G14-H14-I14</f>
        <v>0.7275</v>
      </c>
    </row>
    <row r="15" customFormat="false" ht="15" hidden="false" customHeight="false" outlineLevel="0" collapsed="false">
      <c r="A15" s="4" t="s">
        <v>342</v>
      </c>
      <c r="B15" s="6" t="n">
        <v>0.05</v>
      </c>
      <c r="C15" s="6" t="n">
        <v>0.6</v>
      </c>
      <c r="D15" s="4" t="n">
        <f aca="false">IF(COUNTIFS($A$22:$A$54,$A15,$B$22:$B$54,"rare")&gt;0,1,0)</f>
        <v>1</v>
      </c>
      <c r="E15" s="4" t="n">
        <f aca="false">IF(COUNTIFS($A$22:$A$54,$A15,$B$22:$B$54,"uncommon")&gt;0,1,0)</f>
        <v>1</v>
      </c>
      <c r="F15" s="4" t="n">
        <f aca="false">IF(COUNTIFS($A$22:$A$54,$A15,$B$22:$B$54,"common")&gt;0,1,0)</f>
        <v>1</v>
      </c>
      <c r="G15" s="21" t="n">
        <f aca="false">IF(D15=1,MIN(B15,Tiers!$B$9),0)</f>
        <v>0.05</v>
      </c>
      <c r="H15" s="21" t="n">
        <f aca="false">IF(E15=1,(1-G15)*MIN(C15,Tiers!$B$9),0)</f>
        <v>0.57</v>
      </c>
      <c r="I15" s="21" t="n">
        <f aca="false">IF(F15=1,1-G15-H15,0)</f>
        <v>0.38</v>
      </c>
      <c r="J15" s="21" t="n">
        <f aca="false">1-G15-H15-I15</f>
        <v>0</v>
      </c>
    </row>
    <row r="16" customFormat="false" ht="15" hidden="false" customHeight="false" outlineLevel="0" collapsed="false">
      <c r="A16" s="4" t="s">
        <v>348</v>
      </c>
      <c r="B16" s="6" t="n">
        <v>0.08</v>
      </c>
      <c r="C16" s="6" t="n">
        <v>0.5</v>
      </c>
      <c r="D16" s="4" t="n">
        <f aca="false">IF(COUNTIFS($A$22:$A$54,$A16,$B$22:$B$54,"rare")&gt;0,1,0)</f>
        <v>1</v>
      </c>
      <c r="E16" s="4" t="n">
        <f aca="false">IF(COUNTIFS($A$22:$A$54,$A16,$B$22:$B$54,"uncommon")&gt;0,1,0)</f>
        <v>1</v>
      </c>
      <c r="F16" s="4" t="n">
        <f aca="false">IF(COUNTIFS($A$22:$A$54,$A16,$B$22:$B$54,"common")&gt;0,1,0)</f>
        <v>0</v>
      </c>
      <c r="G16" s="21" t="n">
        <f aca="false">IF(D16=1,MIN(B16,Tiers!$B$9),0)</f>
        <v>0.08</v>
      </c>
      <c r="H16" s="21" t="n">
        <f aca="false">IF(E16=1,(1-G16)*MIN(C16,Tiers!$B$9),0)</f>
        <v>0.46</v>
      </c>
      <c r="I16" s="21" t="n">
        <f aca="false">IF(F16=1,1-G16-H16,0)</f>
        <v>0</v>
      </c>
      <c r="J16" s="21" t="n">
        <f aca="false">1-G16-H16-I16</f>
        <v>0.46</v>
      </c>
    </row>
    <row r="17" customFormat="false" ht="15" hidden="false" customHeight="false" outlineLevel="0" collapsed="false">
      <c r="A17" s="4" t="s">
        <v>357</v>
      </c>
      <c r="B17" s="6" t="n">
        <v>0.12</v>
      </c>
      <c r="C17" s="6" t="n">
        <v>0.4</v>
      </c>
      <c r="D17" s="4" t="n">
        <f aca="false">IF(COUNTIFS($A$22:$A$54,$A17,$B$22:$B$54,"rare")&gt;0,1,0)</f>
        <v>1</v>
      </c>
      <c r="E17" s="4" t="n">
        <f aca="false">IF(COUNTIFS($A$22:$A$54,$A17,$B$22:$B$54,"uncommon")&gt;0,1,0)</f>
        <v>1</v>
      </c>
      <c r="F17" s="4" t="n">
        <f aca="false">IF(COUNTIFS($A$22:$A$54,$A17,$B$22:$B$54,"common")&gt;0,1,0)</f>
        <v>1</v>
      </c>
      <c r="G17" s="21" t="n">
        <f aca="false">IF(D17=1,MIN(B17,Tiers!$B$9),0)</f>
        <v>0.12</v>
      </c>
      <c r="H17" s="21" t="n">
        <f aca="false">IF(E17=1,(1-G17)*MIN(C17,Tiers!$B$9),0)</f>
        <v>0.352</v>
      </c>
      <c r="I17" s="21" t="n">
        <f aca="false">IF(F17=1,1-G17-H17,0)</f>
        <v>0.528</v>
      </c>
      <c r="J17" s="21" t="n">
        <f aca="false">1-G17-H17-I17</f>
        <v>0</v>
      </c>
    </row>
    <row r="20" customFormat="false" ht="15" hidden="false" customHeight="false" outlineLevel="0" collapsed="false">
      <c r="A20" s="3" t="s">
        <v>574</v>
      </c>
    </row>
    <row r="21" customFormat="false" ht="31.5" hidden="false" customHeight="true" outlineLevel="0" collapsed="false">
      <c r="A21" s="5" t="s">
        <v>563</v>
      </c>
      <c r="B21" s="5" t="s">
        <v>61</v>
      </c>
      <c r="C21" s="5" t="s">
        <v>575</v>
      </c>
      <c r="D21" s="5" t="s">
        <v>576</v>
      </c>
      <c r="E21" s="5" t="s">
        <v>403</v>
      </c>
      <c r="F21" s="5" t="s">
        <v>404</v>
      </c>
      <c r="G21" s="5" t="s">
        <v>577</v>
      </c>
      <c r="H21" s="5" t="s">
        <v>578</v>
      </c>
      <c r="I21" s="5" t="s">
        <v>579</v>
      </c>
    </row>
    <row r="22" customFormat="false" ht="15" hidden="false" customHeight="false" outlineLevel="0" collapsed="false">
      <c r="A22" s="4" t="s">
        <v>573</v>
      </c>
      <c r="B22" s="10" t="s">
        <v>66</v>
      </c>
      <c r="C22" s="4" t="s">
        <v>580</v>
      </c>
      <c r="D22" s="7" t="n">
        <v>1</v>
      </c>
      <c r="E22" s="7" t="n">
        <v>1</v>
      </c>
      <c r="F22" s="7" t="n">
        <v>1</v>
      </c>
      <c r="G22" s="13" t="n">
        <f aca="false">D22/SUMIFS($D$22:$D$54,$A$22:$A$54,A22,$B$22:$B$54,B22)</f>
        <v>1</v>
      </c>
      <c r="H22" s="21" t="n">
        <f aca="false">INDEX($G$5:$G$17,MATCH(A22,$A$5:$A$17,0))</f>
        <v>0.25</v>
      </c>
      <c r="I22" s="21" t="n">
        <f aca="false">G22*H22</f>
        <v>0.25</v>
      </c>
    </row>
    <row r="23" customFormat="false" ht="15" hidden="false" customHeight="false" outlineLevel="0" collapsed="false">
      <c r="A23" s="4" t="s">
        <v>573</v>
      </c>
      <c r="B23" s="4" t="s">
        <v>72</v>
      </c>
      <c r="C23" s="4" t="s">
        <v>559</v>
      </c>
      <c r="D23" s="7" t="n">
        <v>1</v>
      </c>
      <c r="E23" s="7" t="n">
        <v>1</v>
      </c>
      <c r="F23" s="7" t="n">
        <v>1</v>
      </c>
      <c r="G23" s="13" t="n">
        <f aca="false">D23/SUMIFS($D$22:$D$54,$A$22:$A$54,A23,$B$22:$B$54,B23)</f>
        <v>1</v>
      </c>
      <c r="H23" s="21" t="n">
        <f aca="false">INDEX($I$5:$I$17,MATCH(A23,$A$5:$A$17,0))</f>
        <v>0.75</v>
      </c>
      <c r="I23" s="21" t="n">
        <f aca="false">G23*H23</f>
        <v>0.75</v>
      </c>
    </row>
    <row r="24" customFormat="false" ht="15" hidden="false" customHeight="false" outlineLevel="0" collapsed="false">
      <c r="A24" s="4" t="s">
        <v>160</v>
      </c>
      <c r="B24" s="10" t="s">
        <v>66</v>
      </c>
      <c r="C24" s="4" t="s">
        <v>581</v>
      </c>
      <c r="D24" s="7" t="n">
        <v>1</v>
      </c>
      <c r="E24" s="2" t="s">
        <v>74</v>
      </c>
      <c r="F24" s="2" t="s">
        <v>74</v>
      </c>
      <c r="G24" s="13" t="n">
        <f aca="false">D24/SUMIFS($D$22:$D$54,$A$22:$A$54,A24,$B$22:$B$54,B24)</f>
        <v>1</v>
      </c>
      <c r="H24" s="21" t="n">
        <f aca="false">INDEX($G$5:$G$17,MATCH(A24,$A$5:$A$17,0))</f>
        <v>0.02</v>
      </c>
      <c r="I24" s="21" t="n">
        <f aca="false">G24*H24</f>
        <v>0.02</v>
      </c>
    </row>
    <row r="25" customFormat="false" ht="15" hidden="false" customHeight="false" outlineLevel="0" collapsed="false">
      <c r="A25" s="4" t="s">
        <v>160</v>
      </c>
      <c r="B25" s="9" t="s">
        <v>69</v>
      </c>
      <c r="C25" s="4" t="s">
        <v>557</v>
      </c>
      <c r="D25" s="7" t="n">
        <v>1</v>
      </c>
      <c r="E25" s="7" t="n">
        <v>1</v>
      </c>
      <c r="F25" s="7" t="n">
        <v>1</v>
      </c>
      <c r="G25" s="13" t="n">
        <f aca="false">D25/SUMIFS($D$22:$D$54,$A$22:$A$54,A25,$B$22:$B$54,B25)</f>
        <v>1</v>
      </c>
      <c r="H25" s="21" t="n">
        <f aca="false">INDEX($H$5:$H$17,MATCH(A25,$A$5:$A$17,0))</f>
        <v>0.147</v>
      </c>
      <c r="I25" s="21" t="n">
        <f aca="false">G25*H25</f>
        <v>0.147</v>
      </c>
    </row>
    <row r="26" customFormat="false" ht="15" hidden="false" customHeight="false" outlineLevel="0" collapsed="false">
      <c r="A26" s="4" t="s">
        <v>215</v>
      </c>
      <c r="B26" s="10" t="s">
        <v>66</v>
      </c>
      <c r="C26" s="4" t="s">
        <v>581</v>
      </c>
      <c r="D26" s="7" t="n">
        <v>1</v>
      </c>
      <c r="E26" s="2" t="s">
        <v>74</v>
      </c>
      <c r="F26" s="2" t="s">
        <v>74</v>
      </c>
      <c r="G26" s="13" t="n">
        <f aca="false">D26/SUMIFS($D$22:$D$54,$A$22:$A$54,A26,$B$22:$B$54,B26)</f>
        <v>1</v>
      </c>
      <c r="H26" s="21" t="n">
        <f aca="false">INDEX($G$5:$G$17,MATCH(A26,$A$5:$A$17,0))</f>
        <v>0.02</v>
      </c>
      <c r="I26" s="21" t="n">
        <f aca="false">G26*H26</f>
        <v>0.02</v>
      </c>
    </row>
    <row r="27" customFormat="false" ht="15" hidden="false" customHeight="false" outlineLevel="0" collapsed="false">
      <c r="A27" s="4" t="s">
        <v>215</v>
      </c>
      <c r="B27" s="9" t="s">
        <v>69</v>
      </c>
      <c r="C27" s="4" t="s">
        <v>582</v>
      </c>
      <c r="D27" s="7" t="n">
        <v>1</v>
      </c>
      <c r="E27" s="7" t="n">
        <v>1</v>
      </c>
      <c r="F27" s="7" t="n">
        <v>1</v>
      </c>
      <c r="G27" s="13" t="n">
        <f aca="false">D27/SUMIFS($D$22:$D$54,$A$22:$A$54,A27,$B$22:$B$54,B27)</f>
        <v>1</v>
      </c>
      <c r="H27" s="21" t="n">
        <f aca="false">INDEX($H$5:$H$17,MATCH(A27,$A$5:$A$17,0))</f>
        <v>0.196</v>
      </c>
      <c r="I27" s="21" t="n">
        <f aca="false">G27*H27</f>
        <v>0.196</v>
      </c>
    </row>
    <row r="28" customFormat="false" ht="15" hidden="false" customHeight="false" outlineLevel="0" collapsed="false">
      <c r="A28" s="4" t="s">
        <v>299</v>
      </c>
      <c r="B28" s="10" t="s">
        <v>66</v>
      </c>
      <c r="C28" s="4" t="s">
        <v>580</v>
      </c>
      <c r="D28" s="7" t="n">
        <v>1</v>
      </c>
      <c r="E28" s="7" t="n">
        <v>1</v>
      </c>
      <c r="F28" s="7" t="n">
        <v>1</v>
      </c>
      <c r="G28" s="13" t="n">
        <f aca="false">D28/SUMIFS($D$22:$D$54,$A$22:$A$54,A28,$B$22:$B$54,B28)</f>
        <v>1</v>
      </c>
      <c r="H28" s="21" t="n">
        <f aca="false">INDEX($G$5:$G$17,MATCH(A28,$A$5:$A$17,0))</f>
        <v>0.04</v>
      </c>
      <c r="I28" s="21" t="n">
        <f aca="false">G28*H28</f>
        <v>0.04</v>
      </c>
    </row>
    <row r="29" customFormat="false" ht="15" hidden="false" customHeight="false" outlineLevel="0" collapsed="false">
      <c r="A29" s="4" t="s">
        <v>299</v>
      </c>
      <c r="B29" s="9" t="s">
        <v>69</v>
      </c>
      <c r="C29" s="4" t="s">
        <v>559</v>
      </c>
      <c r="D29" s="7" t="n">
        <v>1</v>
      </c>
      <c r="E29" s="7" t="n">
        <v>1</v>
      </c>
      <c r="F29" s="7" t="n">
        <v>2</v>
      </c>
      <c r="G29" s="13" t="n">
        <f aca="false">D29/SUMIFS($D$22:$D$54,$A$22:$A$54,A29,$B$22:$B$54,B29)</f>
        <v>1</v>
      </c>
      <c r="H29" s="21" t="n">
        <f aca="false">INDEX($H$5:$H$17,MATCH(A29,$A$5:$A$17,0))</f>
        <v>0.24</v>
      </c>
      <c r="I29" s="21" t="n">
        <f aca="false">G29*H29</f>
        <v>0.24</v>
      </c>
    </row>
    <row r="30" customFormat="false" ht="15" hidden="false" customHeight="false" outlineLevel="0" collapsed="false">
      <c r="A30" s="4" t="s">
        <v>223</v>
      </c>
      <c r="B30" s="9" t="s">
        <v>69</v>
      </c>
      <c r="C30" s="4" t="s">
        <v>552</v>
      </c>
      <c r="D30" s="7" t="n">
        <v>1</v>
      </c>
      <c r="E30" s="7" t="n">
        <v>1</v>
      </c>
      <c r="F30" s="7" t="n">
        <v>1</v>
      </c>
      <c r="G30" s="13" t="n">
        <f aca="false">D30/SUMIFS($D$22:$D$54,$A$22:$A$54,A30,$B$22:$B$54,B30)</f>
        <v>0.5</v>
      </c>
      <c r="H30" s="21" t="n">
        <f aca="false">INDEX($H$5:$H$17,MATCH(A30,$A$5:$A$17,0))</f>
        <v>0.25</v>
      </c>
      <c r="I30" s="21" t="n">
        <f aca="false">G30*H30</f>
        <v>0.125</v>
      </c>
    </row>
    <row r="31" customFormat="false" ht="15" hidden="false" customHeight="false" outlineLevel="0" collapsed="false">
      <c r="A31" s="4" t="s">
        <v>223</v>
      </c>
      <c r="B31" s="9" t="s">
        <v>69</v>
      </c>
      <c r="C31" s="4" t="s">
        <v>555</v>
      </c>
      <c r="D31" s="7" t="n">
        <v>1</v>
      </c>
      <c r="E31" s="7" t="n">
        <v>1</v>
      </c>
      <c r="F31" s="7" t="n">
        <v>1</v>
      </c>
      <c r="G31" s="13" t="n">
        <f aca="false">D31/SUMIFS($D$22:$D$54,$A$22:$A$54,A31,$B$22:$B$54,B31)</f>
        <v>0.5</v>
      </c>
      <c r="H31" s="21" t="n">
        <f aca="false">INDEX($H$5:$H$17,MATCH(A31,$A$5:$A$17,0))</f>
        <v>0.25</v>
      </c>
      <c r="I31" s="21" t="n">
        <f aca="false">G31*H31</f>
        <v>0.125</v>
      </c>
    </row>
    <row r="32" customFormat="false" ht="15" hidden="false" customHeight="false" outlineLevel="0" collapsed="false">
      <c r="A32" s="4" t="s">
        <v>223</v>
      </c>
      <c r="B32" s="4" t="s">
        <v>72</v>
      </c>
      <c r="C32" s="4" t="s">
        <v>546</v>
      </c>
      <c r="D32" s="7" t="n">
        <v>1</v>
      </c>
      <c r="E32" s="7" t="n">
        <v>1</v>
      </c>
      <c r="F32" s="7" t="n">
        <v>3</v>
      </c>
      <c r="G32" s="13" t="n">
        <f aca="false">D32/SUMIFS($D$22:$D$54,$A$22:$A$54,A32,$B$22:$B$54,B32)</f>
        <v>1</v>
      </c>
      <c r="H32" s="21" t="n">
        <f aca="false">INDEX($I$5:$I$17,MATCH(A32,$A$5:$A$17,0))</f>
        <v>0.75</v>
      </c>
      <c r="I32" s="21" t="n">
        <f aca="false">G32*H32</f>
        <v>0.75</v>
      </c>
    </row>
    <row r="33" customFormat="false" ht="15" hidden="false" customHeight="false" outlineLevel="0" collapsed="false">
      <c r="A33" s="4" t="s">
        <v>238</v>
      </c>
      <c r="B33" s="10" t="s">
        <v>66</v>
      </c>
      <c r="C33" s="4" t="s">
        <v>580</v>
      </c>
      <c r="D33" s="7" t="n">
        <v>1</v>
      </c>
      <c r="E33" s="7" t="n">
        <v>1</v>
      </c>
      <c r="F33" s="7" t="n">
        <v>1</v>
      </c>
      <c r="G33" s="13" t="n">
        <f aca="false">D33/SUMIFS($D$22:$D$54,$A$22:$A$54,A33,$B$22:$B$54,B33)</f>
        <v>1</v>
      </c>
      <c r="H33" s="21" t="n">
        <f aca="false">INDEX($G$5:$G$17,MATCH(A33,$A$5:$A$17,0))</f>
        <v>0.03</v>
      </c>
      <c r="I33" s="21" t="n">
        <f aca="false">G33*H33</f>
        <v>0.03</v>
      </c>
    </row>
    <row r="34" customFormat="false" ht="15" hidden="false" customHeight="false" outlineLevel="0" collapsed="false">
      <c r="A34" s="4" t="s">
        <v>238</v>
      </c>
      <c r="B34" s="9" t="s">
        <v>69</v>
      </c>
      <c r="C34" s="4" t="s">
        <v>559</v>
      </c>
      <c r="D34" s="7" t="n">
        <v>1</v>
      </c>
      <c r="E34" s="7" t="n">
        <v>1</v>
      </c>
      <c r="F34" s="7" t="n">
        <v>1</v>
      </c>
      <c r="G34" s="13" t="n">
        <f aca="false">D34/SUMIFS($D$22:$D$54,$A$22:$A$54,A34,$B$22:$B$54,B34)</f>
        <v>1</v>
      </c>
      <c r="H34" s="21" t="n">
        <f aca="false">INDEX($H$5:$H$17,MATCH(A34,$A$5:$A$17,0))</f>
        <v>0.1455</v>
      </c>
      <c r="I34" s="21" t="n">
        <f aca="false">G34*H34</f>
        <v>0.1455</v>
      </c>
    </row>
    <row r="35" customFormat="false" ht="15" hidden="false" customHeight="false" outlineLevel="0" collapsed="false">
      <c r="A35" s="4" t="s">
        <v>251</v>
      </c>
      <c r="B35" s="10" t="s">
        <v>66</v>
      </c>
      <c r="C35" s="4" t="s">
        <v>580</v>
      </c>
      <c r="D35" s="7" t="n">
        <v>1</v>
      </c>
      <c r="E35" s="7" t="n">
        <v>1</v>
      </c>
      <c r="F35" s="7" t="n">
        <v>1</v>
      </c>
      <c r="G35" s="13" t="n">
        <f aca="false">D35/SUMIFS($D$22:$D$54,$A$22:$A$54,A35,$B$22:$B$54,B35)</f>
        <v>1</v>
      </c>
      <c r="H35" s="21" t="n">
        <f aca="false">INDEX($G$5:$G$17,MATCH(A35,$A$5:$A$17,0))</f>
        <v>0.06</v>
      </c>
      <c r="I35" s="21" t="n">
        <f aca="false">G35*H35</f>
        <v>0.06</v>
      </c>
    </row>
    <row r="36" customFormat="false" ht="15" hidden="false" customHeight="false" outlineLevel="0" collapsed="false">
      <c r="A36" s="4" t="s">
        <v>251</v>
      </c>
      <c r="B36" s="9" t="s">
        <v>69</v>
      </c>
      <c r="C36" s="4" t="s">
        <v>559</v>
      </c>
      <c r="D36" s="7" t="n">
        <v>1</v>
      </c>
      <c r="E36" s="7" t="n">
        <v>1</v>
      </c>
      <c r="F36" s="7" t="n">
        <v>3</v>
      </c>
      <c r="G36" s="13" t="n">
        <f aca="false">D36/SUMIFS($D$22:$D$54,$A$22:$A$54,A36,$B$22:$B$54,B36)</f>
        <v>0.5</v>
      </c>
      <c r="H36" s="21" t="n">
        <f aca="false">INDEX($H$5:$H$17,MATCH(A36,$A$5:$A$17,0))</f>
        <v>0.329</v>
      </c>
      <c r="I36" s="21" t="n">
        <f aca="false">G36*H36</f>
        <v>0.1645</v>
      </c>
    </row>
    <row r="37" customFormat="false" ht="15" hidden="false" customHeight="false" outlineLevel="0" collapsed="false">
      <c r="A37" s="4" t="s">
        <v>251</v>
      </c>
      <c r="B37" s="9" t="s">
        <v>69</v>
      </c>
      <c r="C37" s="4" t="s">
        <v>555</v>
      </c>
      <c r="D37" s="7" t="n">
        <v>1</v>
      </c>
      <c r="E37" s="7" t="n">
        <v>1</v>
      </c>
      <c r="F37" s="7" t="n">
        <v>2</v>
      </c>
      <c r="G37" s="13" t="n">
        <f aca="false">D37/SUMIFS($D$22:$D$54,$A$22:$A$54,A37,$B$22:$B$54,B37)</f>
        <v>0.5</v>
      </c>
      <c r="H37" s="21" t="n">
        <f aca="false">INDEX($H$5:$H$17,MATCH(A37,$A$5:$A$17,0))</f>
        <v>0.329</v>
      </c>
      <c r="I37" s="21" t="n">
        <f aca="false">G37*H37</f>
        <v>0.1645</v>
      </c>
    </row>
    <row r="38" customFormat="false" ht="15" hidden="false" customHeight="false" outlineLevel="0" collapsed="false">
      <c r="A38" s="4" t="s">
        <v>156</v>
      </c>
      <c r="B38" s="10" t="s">
        <v>66</v>
      </c>
      <c r="C38" s="4" t="s">
        <v>581</v>
      </c>
      <c r="D38" s="7" t="n">
        <v>1</v>
      </c>
      <c r="E38" s="2" t="s">
        <v>74</v>
      </c>
      <c r="F38" s="2" t="s">
        <v>74</v>
      </c>
      <c r="G38" s="13" t="n">
        <f aca="false">D38/SUMIFS($D$22:$D$54,$A$22:$A$54,A38,$B$22:$B$54,B38)</f>
        <v>1</v>
      </c>
      <c r="H38" s="21" t="n">
        <f aca="false">INDEX($G$5:$G$17,MATCH(A38,$A$5:$A$17,0))</f>
        <v>0.02</v>
      </c>
      <c r="I38" s="21" t="n">
        <f aca="false">G38*H38</f>
        <v>0.02</v>
      </c>
    </row>
    <row r="39" customFormat="false" ht="15" hidden="false" customHeight="false" outlineLevel="0" collapsed="false">
      <c r="A39" s="4" t="s">
        <v>156</v>
      </c>
      <c r="B39" s="9" t="s">
        <v>69</v>
      </c>
      <c r="C39" s="4" t="s">
        <v>583</v>
      </c>
      <c r="D39" s="7" t="n">
        <v>1</v>
      </c>
      <c r="E39" s="7" t="n">
        <v>1</v>
      </c>
      <c r="F39" s="7" t="n">
        <v>2</v>
      </c>
      <c r="G39" s="13" t="n">
        <f aca="false">D39/SUMIFS($D$22:$D$54,$A$22:$A$54,A39,$B$22:$B$54,B39)</f>
        <v>1</v>
      </c>
      <c r="H39" s="21" t="n">
        <f aca="false">INDEX($H$5:$H$17,MATCH(A39,$A$5:$A$17,0))</f>
        <v>0.294</v>
      </c>
      <c r="I39" s="21" t="n">
        <f aca="false">G39*H39</f>
        <v>0.294</v>
      </c>
    </row>
    <row r="40" customFormat="false" ht="15" hidden="false" customHeight="false" outlineLevel="0" collapsed="false">
      <c r="A40" s="4" t="s">
        <v>367</v>
      </c>
      <c r="B40" s="10" t="s">
        <v>66</v>
      </c>
      <c r="C40" s="4" t="s">
        <v>580</v>
      </c>
      <c r="D40" s="7" t="n">
        <v>1</v>
      </c>
      <c r="E40" s="7" t="n">
        <v>1</v>
      </c>
      <c r="F40" s="7" t="n">
        <v>1</v>
      </c>
      <c r="G40" s="13" t="n">
        <f aca="false">D40/SUMIFS($D$22:$D$54,$A$22:$A$54,A40,$B$22:$B$54,B40)</f>
        <v>1</v>
      </c>
      <c r="H40" s="21" t="n">
        <f aca="false">INDEX($G$5:$G$17,MATCH(A40,$A$5:$A$17,0))</f>
        <v>0.03</v>
      </c>
      <c r="I40" s="21" t="n">
        <f aca="false">G40*H40</f>
        <v>0.03</v>
      </c>
    </row>
    <row r="41" customFormat="false" ht="15" hidden="false" customHeight="false" outlineLevel="0" collapsed="false">
      <c r="A41" s="4" t="s">
        <v>367</v>
      </c>
      <c r="B41" s="9" t="s">
        <v>69</v>
      </c>
      <c r="C41" s="4" t="s">
        <v>559</v>
      </c>
      <c r="D41" s="7" t="n">
        <v>1</v>
      </c>
      <c r="E41" s="7" t="n">
        <v>1</v>
      </c>
      <c r="F41" s="7" t="n">
        <v>2</v>
      </c>
      <c r="G41" s="13" t="n">
        <f aca="false">D41/SUMIFS($D$22:$D$54,$A$22:$A$54,A41,$B$22:$B$54,B41)</f>
        <v>0.5</v>
      </c>
      <c r="H41" s="21" t="n">
        <f aca="false">INDEX($H$5:$H$17,MATCH(A41,$A$5:$A$17,0))</f>
        <v>0.291</v>
      </c>
      <c r="I41" s="21" t="n">
        <f aca="false">G41*H41</f>
        <v>0.1455</v>
      </c>
    </row>
    <row r="42" customFormat="false" ht="15" hidden="false" customHeight="false" outlineLevel="0" collapsed="false">
      <c r="A42" s="4" t="s">
        <v>367</v>
      </c>
      <c r="B42" s="9" t="s">
        <v>69</v>
      </c>
      <c r="C42" s="4" t="s">
        <v>555</v>
      </c>
      <c r="D42" s="7" t="n">
        <v>1</v>
      </c>
      <c r="E42" s="7" t="n">
        <v>1</v>
      </c>
      <c r="F42" s="7" t="n">
        <v>2</v>
      </c>
      <c r="G42" s="13" t="n">
        <f aca="false">D42/SUMIFS($D$22:$D$54,$A$22:$A$54,A42,$B$22:$B$54,B42)</f>
        <v>0.5</v>
      </c>
      <c r="H42" s="21" t="n">
        <f aca="false">INDEX($H$5:$H$17,MATCH(A42,$A$5:$A$17,0))</f>
        <v>0.291</v>
      </c>
      <c r="I42" s="21" t="n">
        <f aca="false">G42*H42</f>
        <v>0.1455</v>
      </c>
    </row>
    <row r="43" customFormat="false" ht="15" hidden="false" customHeight="false" outlineLevel="0" collapsed="false">
      <c r="A43" s="4" t="s">
        <v>276</v>
      </c>
      <c r="B43" s="10" t="s">
        <v>66</v>
      </c>
      <c r="C43" s="4" t="s">
        <v>580</v>
      </c>
      <c r="D43" s="7" t="n">
        <v>1</v>
      </c>
      <c r="E43" s="7" t="n">
        <v>1</v>
      </c>
      <c r="F43" s="7" t="n">
        <v>1</v>
      </c>
      <c r="G43" s="13" t="n">
        <f aca="false">D43/SUMIFS($D$22:$D$54,$A$22:$A$54,A43,$B$22:$B$54,B43)</f>
        <v>1</v>
      </c>
      <c r="H43" s="21" t="n">
        <f aca="false">INDEX($G$5:$G$17,MATCH(A43,$A$5:$A$17,0))</f>
        <v>0.03</v>
      </c>
      <c r="I43" s="21" t="n">
        <f aca="false">G43*H43</f>
        <v>0.03</v>
      </c>
    </row>
    <row r="44" customFormat="false" ht="15" hidden="false" customHeight="false" outlineLevel="0" collapsed="false">
      <c r="A44" s="4" t="s">
        <v>276</v>
      </c>
      <c r="B44" s="9" t="s">
        <v>69</v>
      </c>
      <c r="C44" s="4" t="s">
        <v>555</v>
      </c>
      <c r="D44" s="7" t="n">
        <v>1</v>
      </c>
      <c r="E44" s="7" t="n">
        <v>1</v>
      </c>
      <c r="F44" s="7" t="n">
        <v>2</v>
      </c>
      <c r="G44" s="13" t="n">
        <f aca="false">D44/SUMIFS($D$22:$D$54,$A$22:$A$54,A44,$B$22:$B$54,B44)</f>
        <v>0.5</v>
      </c>
      <c r="H44" s="21" t="n">
        <f aca="false">INDEX($H$5:$H$17,MATCH(A44,$A$5:$A$17,0))</f>
        <v>0.2425</v>
      </c>
      <c r="I44" s="21" t="n">
        <f aca="false">G44*H44</f>
        <v>0.12125</v>
      </c>
    </row>
    <row r="45" customFormat="false" ht="15" hidden="false" customHeight="false" outlineLevel="0" collapsed="false">
      <c r="A45" s="4" t="s">
        <v>276</v>
      </c>
      <c r="B45" s="9" t="s">
        <v>69</v>
      </c>
      <c r="C45" s="4" t="s">
        <v>559</v>
      </c>
      <c r="D45" s="7" t="n">
        <v>1</v>
      </c>
      <c r="E45" s="7" t="n">
        <v>1</v>
      </c>
      <c r="F45" s="7" t="n">
        <v>1</v>
      </c>
      <c r="G45" s="13" t="n">
        <f aca="false">D45/SUMIFS($D$22:$D$54,$A$22:$A$54,A45,$B$22:$B$54,B45)</f>
        <v>0.5</v>
      </c>
      <c r="H45" s="21" t="n">
        <f aca="false">INDEX($H$5:$H$17,MATCH(A45,$A$5:$A$17,0))</f>
        <v>0.2425</v>
      </c>
      <c r="I45" s="21" t="n">
        <f aca="false">G45*H45</f>
        <v>0.12125</v>
      </c>
    </row>
    <row r="46" customFormat="false" ht="15" hidden="false" customHeight="false" outlineLevel="0" collapsed="false">
      <c r="A46" s="4" t="s">
        <v>342</v>
      </c>
      <c r="B46" s="10" t="s">
        <v>66</v>
      </c>
      <c r="C46" s="4" t="s">
        <v>581</v>
      </c>
      <c r="D46" s="7" t="n">
        <v>1</v>
      </c>
      <c r="E46" s="2" t="s">
        <v>74</v>
      </c>
      <c r="F46" s="2" t="s">
        <v>74</v>
      </c>
      <c r="G46" s="13" t="n">
        <f aca="false">D46/SUMIFS($D$22:$D$54,$A$22:$A$54,A46,$B$22:$B$54,B46)</f>
        <v>1</v>
      </c>
      <c r="H46" s="21" t="n">
        <f aca="false">INDEX($G$5:$G$17,MATCH(A46,$A$5:$A$17,0))</f>
        <v>0.05</v>
      </c>
      <c r="I46" s="21" t="n">
        <f aca="false">G46*H46</f>
        <v>0.05</v>
      </c>
    </row>
    <row r="47" customFormat="false" ht="15" hidden="false" customHeight="false" outlineLevel="0" collapsed="false">
      <c r="A47" s="4" t="s">
        <v>342</v>
      </c>
      <c r="B47" s="9" t="s">
        <v>69</v>
      </c>
      <c r="C47" s="4" t="s">
        <v>582</v>
      </c>
      <c r="D47" s="7" t="n">
        <v>3</v>
      </c>
      <c r="E47" s="7" t="n">
        <v>1</v>
      </c>
      <c r="F47" s="7" t="n">
        <v>1</v>
      </c>
      <c r="G47" s="13" t="n">
        <f aca="false">D47/SUMIFS($D$22:$D$54,$A$22:$A$54,A47,$B$22:$B$54,B47)</f>
        <v>0.6</v>
      </c>
      <c r="H47" s="21" t="n">
        <f aca="false">INDEX($H$5:$H$17,MATCH(A47,$A$5:$A$17,0))</f>
        <v>0.57</v>
      </c>
      <c r="I47" s="21" t="n">
        <f aca="false">G47*H47</f>
        <v>0.342</v>
      </c>
    </row>
    <row r="48" customFormat="false" ht="15" hidden="false" customHeight="false" outlineLevel="0" collapsed="false">
      <c r="A48" s="4" t="s">
        <v>342</v>
      </c>
      <c r="B48" s="9" t="s">
        <v>69</v>
      </c>
      <c r="C48" s="4" t="s">
        <v>557</v>
      </c>
      <c r="D48" s="7" t="n">
        <v>2</v>
      </c>
      <c r="E48" s="7" t="n">
        <v>1</v>
      </c>
      <c r="F48" s="7" t="n">
        <v>1</v>
      </c>
      <c r="G48" s="13" t="n">
        <f aca="false">D48/SUMIFS($D$22:$D$54,$A$22:$A$54,A48,$B$22:$B$54,B48)</f>
        <v>0.4</v>
      </c>
      <c r="H48" s="21" t="n">
        <f aca="false">INDEX($H$5:$H$17,MATCH(A48,$A$5:$A$17,0))</f>
        <v>0.57</v>
      </c>
      <c r="I48" s="21" t="n">
        <f aca="false">G48*H48</f>
        <v>0.228</v>
      </c>
    </row>
    <row r="49" customFormat="false" ht="15" hidden="false" customHeight="false" outlineLevel="0" collapsed="false">
      <c r="A49" s="4" t="s">
        <v>342</v>
      </c>
      <c r="B49" s="4" t="s">
        <v>72</v>
      </c>
      <c r="C49" s="4" t="s">
        <v>549</v>
      </c>
      <c r="D49" s="7" t="n">
        <v>1</v>
      </c>
      <c r="E49" s="7" t="n">
        <v>1</v>
      </c>
      <c r="F49" s="7" t="n">
        <v>1</v>
      </c>
      <c r="G49" s="13" t="n">
        <f aca="false">D49/SUMIFS($D$22:$D$54,$A$22:$A$54,A49,$B$22:$B$54,B49)</f>
        <v>1</v>
      </c>
      <c r="H49" s="21" t="n">
        <f aca="false">INDEX($I$5:$I$17,MATCH(A49,$A$5:$A$17,0))</f>
        <v>0.38</v>
      </c>
      <c r="I49" s="21" t="n">
        <f aca="false">G49*H49</f>
        <v>0.38</v>
      </c>
    </row>
    <row r="50" customFormat="false" ht="15" hidden="false" customHeight="false" outlineLevel="0" collapsed="false">
      <c r="A50" s="4" t="s">
        <v>348</v>
      </c>
      <c r="B50" s="10" t="s">
        <v>66</v>
      </c>
      <c r="C50" s="4" t="s">
        <v>580</v>
      </c>
      <c r="D50" s="7" t="n">
        <v>1</v>
      </c>
      <c r="E50" s="7" t="n">
        <v>1</v>
      </c>
      <c r="F50" s="7" t="n">
        <v>1</v>
      </c>
      <c r="G50" s="13" t="n">
        <f aca="false">D50/SUMIFS($D$22:$D$54,$A$22:$A$54,A50,$B$22:$B$54,B50)</f>
        <v>1</v>
      </c>
      <c r="H50" s="21" t="n">
        <f aca="false">INDEX($G$5:$G$17,MATCH(A50,$A$5:$A$17,0))</f>
        <v>0.08</v>
      </c>
      <c r="I50" s="21" t="n">
        <f aca="false">G50*H50</f>
        <v>0.08</v>
      </c>
    </row>
    <row r="51" customFormat="false" ht="15" hidden="false" customHeight="false" outlineLevel="0" collapsed="false">
      <c r="A51" s="4" t="s">
        <v>348</v>
      </c>
      <c r="B51" s="9" t="s">
        <v>69</v>
      </c>
      <c r="C51" s="4" t="s">
        <v>559</v>
      </c>
      <c r="D51" s="7" t="n">
        <v>1</v>
      </c>
      <c r="E51" s="7" t="n">
        <v>1</v>
      </c>
      <c r="F51" s="7" t="n">
        <v>3</v>
      </c>
      <c r="G51" s="13" t="n">
        <f aca="false">D51/SUMIFS($D$22:$D$54,$A$22:$A$54,A51,$B$22:$B$54,B51)</f>
        <v>1</v>
      </c>
      <c r="H51" s="21" t="n">
        <f aca="false">INDEX($H$5:$H$17,MATCH(A51,$A$5:$A$17,0))</f>
        <v>0.46</v>
      </c>
      <c r="I51" s="21" t="n">
        <f aca="false">G51*H51</f>
        <v>0.46</v>
      </c>
    </row>
    <row r="52" customFormat="false" ht="15" hidden="false" customHeight="false" outlineLevel="0" collapsed="false">
      <c r="A52" s="4" t="s">
        <v>357</v>
      </c>
      <c r="B52" s="10" t="s">
        <v>66</v>
      </c>
      <c r="C52" s="4" t="s">
        <v>580</v>
      </c>
      <c r="D52" s="7" t="n">
        <v>1</v>
      </c>
      <c r="E52" s="7" t="n">
        <v>1</v>
      </c>
      <c r="F52" s="7" t="n">
        <v>2</v>
      </c>
      <c r="G52" s="13" t="n">
        <f aca="false">D52/SUMIFS($D$22:$D$54,$A$22:$A$54,A52,$B$22:$B$54,B52)</f>
        <v>1</v>
      </c>
      <c r="H52" s="21" t="n">
        <f aca="false">INDEX($G$5:$G$17,MATCH(A52,$A$5:$A$17,0))</f>
        <v>0.12</v>
      </c>
      <c r="I52" s="21" t="n">
        <f aca="false">G52*H52</f>
        <v>0.12</v>
      </c>
    </row>
    <row r="53" customFormat="false" ht="15" hidden="false" customHeight="false" outlineLevel="0" collapsed="false">
      <c r="A53" s="4" t="s">
        <v>357</v>
      </c>
      <c r="B53" s="9" t="s">
        <v>69</v>
      </c>
      <c r="C53" s="4" t="s">
        <v>559</v>
      </c>
      <c r="D53" s="7" t="n">
        <v>1</v>
      </c>
      <c r="E53" s="7" t="n">
        <v>2</v>
      </c>
      <c r="F53" s="7" t="n">
        <v>4</v>
      </c>
      <c r="G53" s="13" t="n">
        <f aca="false">D53/SUMIFS($D$22:$D$54,$A$22:$A$54,A53,$B$22:$B$54,B53)</f>
        <v>1</v>
      </c>
      <c r="H53" s="21" t="n">
        <f aca="false">INDEX($H$5:$H$17,MATCH(A53,$A$5:$A$17,0))</f>
        <v>0.352</v>
      </c>
      <c r="I53" s="21" t="n">
        <f aca="false">G53*H53</f>
        <v>0.352</v>
      </c>
    </row>
    <row r="54" customFormat="false" ht="15" hidden="false" customHeight="false" outlineLevel="0" collapsed="false">
      <c r="A54" s="4" t="s">
        <v>357</v>
      </c>
      <c r="B54" s="4" t="s">
        <v>72</v>
      </c>
      <c r="C54" s="4" t="s">
        <v>555</v>
      </c>
      <c r="D54" s="7" t="n">
        <v>1</v>
      </c>
      <c r="E54" s="7" t="n">
        <v>1</v>
      </c>
      <c r="F54" s="7" t="n">
        <v>2</v>
      </c>
      <c r="G54" s="13" t="n">
        <f aca="false">D54/SUMIFS($D$22:$D$54,$A$22:$A$54,A54,$B$22:$B$54,B54)</f>
        <v>1</v>
      </c>
      <c r="H54" s="21" t="n">
        <f aca="false">INDEX($I$5:$I$17,MATCH(A54,$A$5:$A$17,0))</f>
        <v>0.528</v>
      </c>
      <c r="I54" s="21" t="n">
        <f aca="false">G54*H54</f>
        <v>0.528</v>
      </c>
    </row>
    <row r="56" customFormat="false" ht="15" hidden="false" customHeight="false" outlineLevel="0" collapsed="false">
      <c r="A56" s="3" t="s">
        <v>584</v>
      </c>
    </row>
    <row r="57" customFormat="false" ht="31.5" hidden="false" customHeight="true" outlineLevel="0" collapsed="false">
      <c r="A57" s="5" t="s">
        <v>563</v>
      </c>
      <c r="B57" s="5" t="s">
        <v>540</v>
      </c>
      <c r="C57" s="5" t="s">
        <v>585</v>
      </c>
    </row>
    <row r="58" customFormat="false" ht="15" hidden="false" customHeight="false" outlineLevel="0" collapsed="false">
      <c r="A58" s="4" t="s">
        <v>573</v>
      </c>
      <c r="B58" s="4" t="s">
        <v>580</v>
      </c>
      <c r="C58" s="21" t="n">
        <f aca="false">SUMIFS($I$22:$I$54,$A$22:$A$54,A58,$C$22:$C$54,B58)</f>
        <v>0.25</v>
      </c>
    </row>
    <row r="59" customFormat="false" ht="15" hidden="false" customHeight="false" outlineLevel="0" collapsed="false">
      <c r="A59" s="4" t="s">
        <v>573</v>
      </c>
      <c r="B59" s="4" t="s">
        <v>559</v>
      </c>
      <c r="C59" s="21" t="n">
        <f aca="false">SUMIFS($I$22:$I$54,$A$22:$A$54,A59,$C$22:$C$54,B59)</f>
        <v>0.75</v>
      </c>
    </row>
    <row r="60" customFormat="false" ht="15" hidden="false" customHeight="false" outlineLevel="0" collapsed="false">
      <c r="A60" s="4" t="s">
        <v>160</v>
      </c>
      <c r="B60" s="4" t="s">
        <v>580</v>
      </c>
      <c r="C60" s="21" t="n">
        <f aca="false">SUMIFS($I$22:$I$54,$A$22:$A$54,A60,$C$22:$C$54,B60)+SUMIFS($I$22:$I$54,$A$22:$A$54,A60,$C$22:$C$54,"table:forest_trinkets")*C58</f>
        <v>0.005</v>
      </c>
    </row>
    <row r="61" customFormat="false" ht="15" hidden="false" customHeight="false" outlineLevel="0" collapsed="false">
      <c r="A61" s="4" t="s">
        <v>160</v>
      </c>
      <c r="B61" s="4" t="s">
        <v>559</v>
      </c>
      <c r="C61" s="21" t="n">
        <f aca="false">SUMIFS($I$22:$I$54,$A$22:$A$54,A61,$C$22:$C$54,B61)+SUMIFS($I$22:$I$54,$A$22:$A$54,A61,$C$22:$C$54,"table:forest_trinkets")*C59</f>
        <v>0.015</v>
      </c>
    </row>
    <row r="62" customFormat="false" ht="15" hidden="false" customHeight="false" outlineLevel="0" collapsed="false">
      <c r="A62" s="4" t="s">
        <v>160</v>
      </c>
      <c r="B62" s="4" t="s">
        <v>557</v>
      </c>
      <c r="C62" s="21" t="n">
        <f aca="false">SUMIFS($I$22:$I$54,$A$22:$A$54,A62,$C$22:$C$54,B62)</f>
        <v>0.147</v>
      </c>
    </row>
    <row r="63" customFormat="false" ht="15" hidden="false" customHeight="false" outlineLevel="0" collapsed="false">
      <c r="A63" s="4" t="s">
        <v>215</v>
      </c>
      <c r="B63" s="4" t="s">
        <v>580</v>
      </c>
      <c r="C63" s="21" t="n">
        <f aca="false">SUMIFS($I$22:$I$54,$A$22:$A$54,A63,$C$22:$C$54,B63)+SUMIFS($I$22:$I$54,$A$22:$A$54,A63,$C$22:$C$54,"table:forest_trinkets")*C58</f>
        <v>0.005</v>
      </c>
    </row>
    <row r="64" customFormat="false" ht="15" hidden="false" customHeight="false" outlineLevel="0" collapsed="false">
      <c r="A64" s="4" t="s">
        <v>215</v>
      </c>
      <c r="B64" s="4" t="s">
        <v>559</v>
      </c>
      <c r="C64" s="21" t="n">
        <f aca="false">SUMIFS($I$22:$I$54,$A$22:$A$54,A64,$C$22:$C$54,B64)+SUMIFS($I$22:$I$54,$A$22:$A$54,A64,$C$22:$C$54,"table:forest_trinkets")*C59</f>
        <v>0.015</v>
      </c>
    </row>
    <row r="65" customFormat="false" ht="15" hidden="false" customHeight="false" outlineLevel="0" collapsed="false">
      <c r="A65" s="4" t="s">
        <v>215</v>
      </c>
      <c r="B65" s="4" t="s">
        <v>582</v>
      </c>
      <c r="C65" s="21" t="n">
        <f aca="false">SUMIFS($I$22:$I$54,$A$22:$A$54,A65,$C$22:$C$54,B65)</f>
        <v>0.196</v>
      </c>
    </row>
    <row r="66" customFormat="false" ht="15" hidden="false" customHeight="false" outlineLevel="0" collapsed="false">
      <c r="A66" s="4" t="s">
        <v>299</v>
      </c>
      <c r="B66" s="4" t="s">
        <v>580</v>
      </c>
      <c r="C66" s="21" t="n">
        <f aca="false">SUMIFS($I$22:$I$54,$A$22:$A$54,A66,$C$22:$C$54,B66)</f>
        <v>0.04</v>
      </c>
    </row>
    <row r="67" customFormat="false" ht="15" hidden="false" customHeight="false" outlineLevel="0" collapsed="false">
      <c r="A67" s="4" t="s">
        <v>299</v>
      </c>
      <c r="B67" s="4" t="s">
        <v>559</v>
      </c>
      <c r="C67" s="21" t="n">
        <f aca="false">SUMIFS($I$22:$I$54,$A$22:$A$54,A67,$C$22:$C$54,B67)</f>
        <v>0.24</v>
      </c>
    </row>
    <row r="68" customFormat="false" ht="15" hidden="false" customHeight="false" outlineLevel="0" collapsed="false">
      <c r="A68" s="4" t="s">
        <v>223</v>
      </c>
      <c r="B68" s="4" t="s">
        <v>552</v>
      </c>
      <c r="C68" s="21" t="n">
        <f aca="false">SUMIFS($I$22:$I$54,$A$22:$A$54,A68,$C$22:$C$54,B68)</f>
        <v>0.125</v>
      </c>
    </row>
    <row r="69" customFormat="false" ht="15" hidden="false" customHeight="false" outlineLevel="0" collapsed="false">
      <c r="A69" s="4" t="s">
        <v>223</v>
      </c>
      <c r="B69" s="4" t="s">
        <v>555</v>
      </c>
      <c r="C69" s="21" t="n">
        <f aca="false">SUMIFS($I$22:$I$54,$A$22:$A$54,A69,$C$22:$C$54,B69)</f>
        <v>0.125</v>
      </c>
    </row>
    <row r="70" customFormat="false" ht="15" hidden="false" customHeight="false" outlineLevel="0" collapsed="false">
      <c r="A70" s="4" t="s">
        <v>223</v>
      </c>
      <c r="B70" s="4" t="s">
        <v>546</v>
      </c>
      <c r="C70" s="21" t="n">
        <f aca="false">SUMIFS($I$22:$I$54,$A$22:$A$54,A70,$C$22:$C$54,B70)</f>
        <v>0.75</v>
      </c>
    </row>
    <row r="71" customFormat="false" ht="15" hidden="false" customHeight="false" outlineLevel="0" collapsed="false">
      <c r="A71" s="4" t="s">
        <v>238</v>
      </c>
      <c r="B71" s="4" t="s">
        <v>580</v>
      </c>
      <c r="C71" s="21" t="n">
        <f aca="false">SUMIFS($I$22:$I$54,$A$22:$A$54,A71,$C$22:$C$54,B71)</f>
        <v>0.03</v>
      </c>
    </row>
    <row r="72" customFormat="false" ht="15" hidden="false" customHeight="false" outlineLevel="0" collapsed="false">
      <c r="A72" s="4" t="s">
        <v>238</v>
      </c>
      <c r="B72" s="4" t="s">
        <v>559</v>
      </c>
      <c r="C72" s="21" t="n">
        <f aca="false">SUMIFS($I$22:$I$54,$A$22:$A$54,A72,$C$22:$C$54,B72)</f>
        <v>0.1455</v>
      </c>
    </row>
    <row r="73" customFormat="false" ht="15" hidden="false" customHeight="false" outlineLevel="0" collapsed="false">
      <c r="A73" s="4" t="s">
        <v>251</v>
      </c>
      <c r="B73" s="4" t="s">
        <v>580</v>
      </c>
      <c r="C73" s="21" t="n">
        <f aca="false">SUMIFS($I$22:$I$54,$A$22:$A$54,A73,$C$22:$C$54,B73)</f>
        <v>0.06</v>
      </c>
    </row>
    <row r="74" customFormat="false" ht="15" hidden="false" customHeight="false" outlineLevel="0" collapsed="false">
      <c r="A74" s="4" t="s">
        <v>251</v>
      </c>
      <c r="B74" s="4" t="s">
        <v>559</v>
      </c>
      <c r="C74" s="21" t="n">
        <f aca="false">SUMIFS($I$22:$I$54,$A$22:$A$54,A74,$C$22:$C$54,B74)</f>
        <v>0.1645</v>
      </c>
    </row>
    <row r="75" customFormat="false" ht="15" hidden="false" customHeight="false" outlineLevel="0" collapsed="false">
      <c r="A75" s="4" t="s">
        <v>251</v>
      </c>
      <c r="B75" s="4" t="s">
        <v>555</v>
      </c>
      <c r="C75" s="21" t="n">
        <f aca="false">SUMIFS($I$22:$I$54,$A$22:$A$54,A75,$C$22:$C$54,B75)</f>
        <v>0.1645</v>
      </c>
    </row>
    <row r="76" customFormat="false" ht="15" hidden="false" customHeight="false" outlineLevel="0" collapsed="false">
      <c r="A76" s="4" t="s">
        <v>156</v>
      </c>
      <c r="B76" s="4" t="s">
        <v>580</v>
      </c>
      <c r="C76" s="21" t="n">
        <f aca="false">SUMIFS($I$22:$I$54,$A$22:$A$54,A76,$C$22:$C$54,B76)+SUMIFS($I$22:$I$54,$A$22:$A$54,A76,$C$22:$C$54,"table:forest_trinkets")*C58</f>
        <v>0.005</v>
      </c>
    </row>
    <row r="77" customFormat="false" ht="15" hidden="false" customHeight="false" outlineLevel="0" collapsed="false">
      <c r="A77" s="4" t="s">
        <v>156</v>
      </c>
      <c r="B77" s="4" t="s">
        <v>559</v>
      </c>
      <c r="C77" s="21" t="n">
        <f aca="false">SUMIFS($I$22:$I$54,$A$22:$A$54,A77,$C$22:$C$54,B77)+SUMIFS($I$22:$I$54,$A$22:$A$54,A77,$C$22:$C$54,"table:forest_trinkets")*C59</f>
        <v>0.015</v>
      </c>
    </row>
    <row r="78" customFormat="false" ht="15" hidden="false" customHeight="false" outlineLevel="0" collapsed="false">
      <c r="A78" s="4" t="s">
        <v>156</v>
      </c>
      <c r="B78" s="4" t="s">
        <v>583</v>
      </c>
      <c r="C78" s="21" t="n">
        <f aca="false">SUMIFS($I$22:$I$54,$A$22:$A$54,A78,$C$22:$C$54,B78)</f>
        <v>0.294</v>
      </c>
    </row>
    <row r="79" customFormat="false" ht="15" hidden="false" customHeight="false" outlineLevel="0" collapsed="false">
      <c r="A79" s="4" t="s">
        <v>367</v>
      </c>
      <c r="B79" s="4" t="s">
        <v>580</v>
      </c>
      <c r="C79" s="21" t="n">
        <f aca="false">SUMIFS($I$22:$I$54,$A$22:$A$54,A79,$C$22:$C$54,B79)</f>
        <v>0.03</v>
      </c>
    </row>
    <row r="80" customFormat="false" ht="15" hidden="false" customHeight="false" outlineLevel="0" collapsed="false">
      <c r="A80" s="4" t="s">
        <v>367</v>
      </c>
      <c r="B80" s="4" t="s">
        <v>559</v>
      </c>
      <c r="C80" s="21" t="n">
        <f aca="false">SUMIFS($I$22:$I$54,$A$22:$A$54,A80,$C$22:$C$54,B80)</f>
        <v>0.1455</v>
      </c>
    </row>
    <row r="81" customFormat="false" ht="15" hidden="false" customHeight="false" outlineLevel="0" collapsed="false">
      <c r="A81" s="4" t="s">
        <v>367</v>
      </c>
      <c r="B81" s="4" t="s">
        <v>555</v>
      </c>
      <c r="C81" s="21" t="n">
        <f aca="false">SUMIFS($I$22:$I$54,$A$22:$A$54,A81,$C$22:$C$54,B81)</f>
        <v>0.1455</v>
      </c>
    </row>
    <row r="82" customFormat="false" ht="15" hidden="false" customHeight="false" outlineLevel="0" collapsed="false">
      <c r="A82" s="4" t="s">
        <v>276</v>
      </c>
      <c r="B82" s="4" t="s">
        <v>580</v>
      </c>
      <c r="C82" s="21" t="n">
        <f aca="false">SUMIFS($I$22:$I$54,$A$22:$A$54,A82,$C$22:$C$54,B82)</f>
        <v>0.03</v>
      </c>
    </row>
    <row r="83" customFormat="false" ht="15" hidden="false" customHeight="false" outlineLevel="0" collapsed="false">
      <c r="A83" s="4" t="s">
        <v>276</v>
      </c>
      <c r="B83" s="4" t="s">
        <v>555</v>
      </c>
      <c r="C83" s="21" t="n">
        <f aca="false">SUMIFS($I$22:$I$54,$A$22:$A$54,A83,$C$22:$C$54,B83)</f>
        <v>0.12125</v>
      </c>
    </row>
    <row r="84" customFormat="false" ht="15" hidden="false" customHeight="false" outlineLevel="0" collapsed="false">
      <c r="A84" s="4" t="s">
        <v>276</v>
      </c>
      <c r="B84" s="4" t="s">
        <v>559</v>
      </c>
      <c r="C84" s="21" t="n">
        <f aca="false">SUMIFS($I$22:$I$54,$A$22:$A$54,A84,$C$22:$C$54,B84)</f>
        <v>0.12125</v>
      </c>
    </row>
    <row r="85" customFormat="false" ht="15" hidden="false" customHeight="false" outlineLevel="0" collapsed="false">
      <c r="A85" s="4" t="s">
        <v>342</v>
      </c>
      <c r="B85" s="4" t="s">
        <v>580</v>
      </c>
      <c r="C85" s="21" t="n">
        <f aca="false">SUMIFS($I$22:$I$54,$A$22:$A$54,A85,$C$22:$C$54,B85)+SUMIFS($I$22:$I$54,$A$22:$A$54,A85,$C$22:$C$54,"table:forest_trinkets")*C58</f>
        <v>0.0125</v>
      </c>
    </row>
    <row r="86" customFormat="false" ht="15" hidden="false" customHeight="false" outlineLevel="0" collapsed="false">
      <c r="A86" s="4" t="s">
        <v>342</v>
      </c>
      <c r="B86" s="4" t="s">
        <v>559</v>
      </c>
      <c r="C86" s="21" t="n">
        <f aca="false">SUMIFS($I$22:$I$54,$A$22:$A$54,A86,$C$22:$C$54,B86)+SUMIFS($I$22:$I$54,$A$22:$A$54,A86,$C$22:$C$54,"table:forest_trinkets")*C59</f>
        <v>0.0375</v>
      </c>
    </row>
    <row r="87" customFormat="false" ht="15" hidden="false" customHeight="false" outlineLevel="0" collapsed="false">
      <c r="A87" s="4" t="s">
        <v>342</v>
      </c>
      <c r="B87" s="4" t="s">
        <v>582</v>
      </c>
      <c r="C87" s="21" t="n">
        <f aca="false">SUMIFS($I$22:$I$54,$A$22:$A$54,A87,$C$22:$C$54,B87)</f>
        <v>0.342</v>
      </c>
    </row>
    <row r="88" customFormat="false" ht="15" hidden="false" customHeight="false" outlineLevel="0" collapsed="false">
      <c r="A88" s="4" t="s">
        <v>342</v>
      </c>
      <c r="B88" s="4" t="s">
        <v>557</v>
      </c>
      <c r="C88" s="21" t="n">
        <f aca="false">SUMIFS($I$22:$I$54,$A$22:$A$54,A88,$C$22:$C$54,B88)</f>
        <v>0.228</v>
      </c>
    </row>
    <row r="89" customFormat="false" ht="15" hidden="false" customHeight="false" outlineLevel="0" collapsed="false">
      <c r="A89" s="4" t="s">
        <v>342</v>
      </c>
      <c r="B89" s="4" t="s">
        <v>549</v>
      </c>
      <c r="C89" s="21" t="n">
        <f aca="false">SUMIFS($I$22:$I$54,$A$22:$A$54,A89,$C$22:$C$54,B89)</f>
        <v>0.38</v>
      </c>
    </row>
    <row r="90" customFormat="false" ht="15" hidden="false" customHeight="false" outlineLevel="0" collapsed="false">
      <c r="A90" s="4" t="s">
        <v>348</v>
      </c>
      <c r="B90" s="4" t="s">
        <v>580</v>
      </c>
      <c r="C90" s="21" t="n">
        <f aca="false">SUMIFS($I$22:$I$54,$A$22:$A$54,A90,$C$22:$C$54,B90)</f>
        <v>0.08</v>
      </c>
    </row>
    <row r="91" customFormat="false" ht="15" hidden="false" customHeight="false" outlineLevel="0" collapsed="false">
      <c r="A91" s="4" t="s">
        <v>348</v>
      </c>
      <c r="B91" s="4" t="s">
        <v>559</v>
      </c>
      <c r="C91" s="21" t="n">
        <f aca="false">SUMIFS($I$22:$I$54,$A$22:$A$54,A91,$C$22:$C$54,B91)</f>
        <v>0.46</v>
      </c>
    </row>
    <row r="92" customFormat="false" ht="15" hidden="false" customHeight="false" outlineLevel="0" collapsed="false">
      <c r="A92" s="4" t="s">
        <v>357</v>
      </c>
      <c r="B92" s="4" t="s">
        <v>580</v>
      </c>
      <c r="C92" s="21" t="n">
        <f aca="false">SUMIFS($I$22:$I$54,$A$22:$A$54,A92,$C$22:$C$54,B92)</f>
        <v>0.12</v>
      </c>
    </row>
    <row r="93" customFormat="false" ht="15" hidden="false" customHeight="false" outlineLevel="0" collapsed="false">
      <c r="A93" s="4" t="s">
        <v>357</v>
      </c>
      <c r="B93" s="4" t="s">
        <v>559</v>
      </c>
      <c r="C93" s="21" t="n">
        <f aca="false">SUMIFS($I$22:$I$54,$A$22:$A$54,A93,$C$22:$C$54,B93)</f>
        <v>0.352</v>
      </c>
    </row>
    <row r="94" customFormat="false" ht="15" hidden="false" customHeight="false" outlineLevel="0" collapsed="false">
      <c r="A94" s="4" t="s">
        <v>357</v>
      </c>
      <c r="B94" s="4" t="s">
        <v>555</v>
      </c>
      <c r="C94" s="21" t="n">
        <f aca="false">SUMIFS($I$22:$I$54,$A$22:$A$54,A94,$C$22:$C$54,B94)</f>
        <v>0.528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586</v>
      </c>
    </row>
    <row r="2" customFormat="false" ht="15" hidden="false" customHeight="false" outlineLevel="0" collapsed="false">
      <c r="A2" s="2" t="s">
        <v>587</v>
      </c>
    </row>
    <row r="4" customFormat="false" ht="31.5" hidden="false" customHeight="true" outlineLevel="0" collapsed="false">
      <c r="A4" s="5" t="s">
        <v>539</v>
      </c>
      <c r="B4" s="5" t="s">
        <v>563</v>
      </c>
      <c r="C4" s="5" t="s">
        <v>540</v>
      </c>
      <c r="D4" s="5" t="s">
        <v>588</v>
      </c>
      <c r="E4" s="5" t="s">
        <v>589</v>
      </c>
      <c r="F4" s="5" t="s">
        <v>542</v>
      </c>
      <c r="G4" s="5" t="s">
        <v>590</v>
      </c>
      <c r="H4" s="5" t="s">
        <v>591</v>
      </c>
    </row>
    <row r="5" customFormat="false" ht="15" hidden="false" customHeight="false" outlineLevel="0" collapsed="false">
      <c r="A5" s="4" t="s">
        <v>213</v>
      </c>
      <c r="B5" s="4" t="s">
        <v>215</v>
      </c>
      <c r="C5" s="4" t="s">
        <v>580</v>
      </c>
      <c r="D5" s="10" t="str">
        <f aca="false">INDEX(Items!$D:$D,MATCH(C5,Items!$A:$A,0))</f>
        <v>rare</v>
      </c>
      <c r="E5" s="21" t="n">
        <f aca="false">SUMIFS('Drop tables'!$C$58:$C$94,'Drop tables'!$A$58:$A$94,B5,'Drop tables'!$B$58:$B$94,C5)</f>
        <v>0.005</v>
      </c>
      <c r="F5" s="4" t="n">
        <f aca="false">INDEX(Items!$F:$F,MATCH(C5,Items!$A:$A,0))</f>
        <v>20</v>
      </c>
      <c r="G5" s="22" t="n">
        <v>1</v>
      </c>
      <c r="H5" s="8" t="n">
        <f aca="false">E5*F5*G5</f>
        <v>0.1</v>
      </c>
    </row>
    <row r="6" customFormat="false" ht="15" hidden="false" customHeight="false" outlineLevel="0" collapsed="false">
      <c r="A6" s="4" t="s">
        <v>213</v>
      </c>
      <c r="B6" s="4" t="s">
        <v>215</v>
      </c>
      <c r="C6" s="4" t="s">
        <v>559</v>
      </c>
      <c r="D6" s="9" t="str">
        <f aca="false">INDEX(Items!$D:$D,MATCH(C6,Items!$A:$A,0))</f>
        <v>uncommon</v>
      </c>
      <c r="E6" s="21" t="n">
        <f aca="false">SUMIFS('Drop tables'!$C$58:$C$94,'Drop tables'!$A$58:$A$94,B6,'Drop tables'!$B$58:$B$94,C6)</f>
        <v>0.015</v>
      </c>
      <c r="F6" s="4" t="n">
        <f aca="false">INDEX(Items!$F:$F,MATCH(C6,Items!$A:$A,0))</f>
        <v>8</v>
      </c>
      <c r="G6" s="22" t="n">
        <v>1</v>
      </c>
      <c r="H6" s="8" t="n">
        <f aca="false">E6*F6*G6</f>
        <v>0.12</v>
      </c>
    </row>
    <row r="7" customFormat="false" ht="15" hidden="false" customHeight="false" outlineLevel="0" collapsed="false">
      <c r="A7" s="4" t="s">
        <v>213</v>
      </c>
      <c r="B7" s="4" t="s">
        <v>215</v>
      </c>
      <c r="C7" s="4" t="s">
        <v>582</v>
      </c>
      <c r="D7" s="9" t="str">
        <f aca="false">INDEX(Items!$D:$D,MATCH(C7,Items!$A:$A,0))</f>
        <v>uncommon</v>
      </c>
      <c r="E7" s="21" t="n">
        <f aca="false">SUMIFS('Drop tables'!$C$58:$C$94,'Drop tables'!$A$58:$A$94,B7,'Drop tables'!$B$58:$B$94,C7)</f>
        <v>0.196</v>
      </c>
      <c r="F7" s="4" t="n">
        <f aca="false">INDEX(Items!$F:$F,MATCH(C7,Items!$A:$A,0))</f>
        <v>6</v>
      </c>
      <c r="G7" s="22" t="n">
        <v>1</v>
      </c>
      <c r="H7" s="8" t="n">
        <f aca="false">E7*F7*G7</f>
        <v>1.176</v>
      </c>
    </row>
    <row r="8" customFormat="false" ht="15" hidden="false" customHeight="false" outlineLevel="0" collapsed="false">
      <c r="A8" s="4" t="s">
        <v>221</v>
      </c>
      <c r="B8" s="4" t="s">
        <v>223</v>
      </c>
      <c r="C8" s="4" t="s">
        <v>552</v>
      </c>
      <c r="D8" s="4" t="str">
        <f aca="false">INDEX(Items!$D:$D,MATCH(C8,Items!$A:$A,0))</f>
        <v>common</v>
      </c>
      <c r="E8" s="21" t="n">
        <f aca="false">SUMIFS('Drop tables'!$C$58:$C$94,'Drop tables'!$A$58:$A$94,B8,'Drop tables'!$B$58:$B$94,C8)</f>
        <v>0.125</v>
      </c>
      <c r="F8" s="4" t="n">
        <f aca="false">INDEX(Items!$F:$F,MATCH(C8,Items!$A:$A,0))</f>
        <v>3</v>
      </c>
      <c r="G8" s="22" t="n">
        <v>1</v>
      </c>
      <c r="H8" s="8" t="n">
        <f aca="false">E8*F8*G8</f>
        <v>0.375</v>
      </c>
    </row>
    <row r="9" customFormat="false" ht="15" hidden="false" customHeight="false" outlineLevel="0" collapsed="false">
      <c r="A9" s="4" t="s">
        <v>221</v>
      </c>
      <c r="B9" s="4" t="s">
        <v>223</v>
      </c>
      <c r="C9" s="4" t="s">
        <v>555</v>
      </c>
      <c r="D9" s="4" t="str">
        <f aca="false">INDEX(Items!$D:$D,MATCH(C9,Items!$A:$A,0))</f>
        <v>common</v>
      </c>
      <c r="E9" s="21" t="n">
        <f aca="false">SUMIFS('Drop tables'!$C$58:$C$94,'Drop tables'!$A$58:$A$94,B9,'Drop tables'!$B$58:$B$94,C9)</f>
        <v>0.125</v>
      </c>
      <c r="F9" s="4" t="n">
        <f aca="false">INDEX(Items!$F:$F,MATCH(C9,Items!$A:$A,0))</f>
        <v>3</v>
      </c>
      <c r="G9" s="22" t="n">
        <v>1</v>
      </c>
      <c r="H9" s="8" t="n">
        <f aca="false">E9*F9*G9</f>
        <v>0.375</v>
      </c>
    </row>
    <row r="10" customFormat="false" ht="15" hidden="false" customHeight="false" outlineLevel="0" collapsed="false">
      <c r="A10" s="4" t="s">
        <v>221</v>
      </c>
      <c r="B10" s="4" t="s">
        <v>223</v>
      </c>
      <c r="C10" s="4" t="s">
        <v>546</v>
      </c>
      <c r="D10" s="4" t="str">
        <f aca="false">INDEX(Items!$D:$D,MATCH(C10,Items!$A:$A,0))</f>
        <v>common</v>
      </c>
      <c r="E10" s="21" t="n">
        <f aca="false">SUMIFS('Drop tables'!$C$58:$C$94,'Drop tables'!$A$58:$A$94,B10,'Drop tables'!$B$58:$B$94,C10)</f>
        <v>0.75</v>
      </c>
      <c r="F10" s="4" t="n">
        <f aca="false">INDEX(Items!$F:$F,MATCH(C10,Items!$A:$A,0))</f>
        <v>1</v>
      </c>
      <c r="G10" s="22" t="n">
        <v>2</v>
      </c>
      <c r="H10" s="8" t="n">
        <f aca="false">E10*F10*G10</f>
        <v>1.5</v>
      </c>
    </row>
    <row r="11" customFormat="false" ht="15" hidden="false" customHeight="false" outlineLevel="0" collapsed="false">
      <c r="A11" s="4" t="s">
        <v>232</v>
      </c>
      <c r="B11" s="4" t="s">
        <v>160</v>
      </c>
      <c r="C11" s="4" t="s">
        <v>580</v>
      </c>
      <c r="D11" s="10" t="str">
        <f aca="false">INDEX(Items!$D:$D,MATCH(C11,Items!$A:$A,0))</f>
        <v>rare</v>
      </c>
      <c r="E11" s="21" t="n">
        <f aca="false">SUMIFS('Drop tables'!$C$58:$C$94,'Drop tables'!$A$58:$A$94,B11,'Drop tables'!$B$58:$B$94,C11)</f>
        <v>0.005</v>
      </c>
      <c r="F11" s="4" t="n">
        <f aca="false">INDEX(Items!$F:$F,MATCH(C11,Items!$A:$A,0))</f>
        <v>20</v>
      </c>
      <c r="G11" s="22" t="n">
        <v>1</v>
      </c>
      <c r="H11" s="8" t="n">
        <f aca="false">E11*F11*G11</f>
        <v>0.1</v>
      </c>
    </row>
    <row r="12" customFormat="false" ht="15" hidden="false" customHeight="false" outlineLevel="0" collapsed="false">
      <c r="A12" s="4" t="s">
        <v>232</v>
      </c>
      <c r="B12" s="4" t="s">
        <v>160</v>
      </c>
      <c r="C12" s="4" t="s">
        <v>559</v>
      </c>
      <c r="D12" s="9" t="str">
        <f aca="false">INDEX(Items!$D:$D,MATCH(C12,Items!$A:$A,0))</f>
        <v>uncommon</v>
      </c>
      <c r="E12" s="21" t="n">
        <f aca="false">SUMIFS('Drop tables'!$C$58:$C$94,'Drop tables'!$A$58:$A$94,B12,'Drop tables'!$B$58:$B$94,C12)</f>
        <v>0.015</v>
      </c>
      <c r="F12" s="4" t="n">
        <f aca="false">INDEX(Items!$F:$F,MATCH(C12,Items!$A:$A,0))</f>
        <v>8</v>
      </c>
      <c r="G12" s="22" t="n">
        <v>1</v>
      </c>
      <c r="H12" s="8" t="n">
        <f aca="false">E12*F12*G12</f>
        <v>0.12</v>
      </c>
    </row>
    <row r="13" customFormat="false" ht="15" hidden="false" customHeight="false" outlineLevel="0" collapsed="false">
      <c r="A13" s="4" t="s">
        <v>232</v>
      </c>
      <c r="B13" s="4" t="s">
        <v>160</v>
      </c>
      <c r="C13" s="4" t="s">
        <v>557</v>
      </c>
      <c r="D13" s="9" t="str">
        <f aca="false">INDEX(Items!$D:$D,MATCH(C13,Items!$A:$A,0))</f>
        <v>uncommon</v>
      </c>
      <c r="E13" s="21" t="n">
        <f aca="false">SUMIFS('Drop tables'!$C$58:$C$94,'Drop tables'!$A$58:$A$94,B13,'Drop tables'!$B$58:$B$94,C13)</f>
        <v>0.147</v>
      </c>
      <c r="F13" s="4" t="n">
        <f aca="false">INDEX(Items!$F:$F,MATCH(C13,Items!$A:$A,0))</f>
        <v>6</v>
      </c>
      <c r="G13" s="22" t="n">
        <v>1</v>
      </c>
      <c r="H13" s="8" t="n">
        <f aca="false">E13*F13*G13</f>
        <v>0.882</v>
      </c>
    </row>
    <row r="14" customFormat="false" ht="15" hidden="false" customHeight="false" outlineLevel="0" collapsed="false">
      <c r="A14" s="4" t="s">
        <v>238</v>
      </c>
      <c r="B14" s="4" t="s">
        <v>238</v>
      </c>
      <c r="C14" s="4" t="s">
        <v>580</v>
      </c>
      <c r="D14" s="10" t="str">
        <f aca="false">INDEX(Items!$D:$D,MATCH(C14,Items!$A:$A,0))</f>
        <v>rare</v>
      </c>
      <c r="E14" s="21" t="n">
        <f aca="false">SUMIFS('Drop tables'!$C$58:$C$94,'Drop tables'!$A$58:$A$94,B14,'Drop tables'!$B$58:$B$94,C14)</f>
        <v>0.03</v>
      </c>
      <c r="F14" s="4" t="n">
        <f aca="false">INDEX(Items!$F:$F,MATCH(C14,Items!$A:$A,0))</f>
        <v>20</v>
      </c>
      <c r="G14" s="22" t="n">
        <v>1</v>
      </c>
      <c r="H14" s="8" t="n">
        <f aca="false">E14*F14*G14</f>
        <v>0.6</v>
      </c>
    </row>
    <row r="15" customFormat="false" ht="15" hidden="false" customHeight="false" outlineLevel="0" collapsed="false">
      <c r="A15" s="4" t="s">
        <v>238</v>
      </c>
      <c r="B15" s="4" t="s">
        <v>238</v>
      </c>
      <c r="C15" s="4" t="s">
        <v>559</v>
      </c>
      <c r="D15" s="9" t="str">
        <f aca="false">INDEX(Items!$D:$D,MATCH(C15,Items!$A:$A,0))</f>
        <v>uncommon</v>
      </c>
      <c r="E15" s="21" t="n">
        <f aca="false">SUMIFS('Drop tables'!$C$58:$C$94,'Drop tables'!$A$58:$A$94,B15,'Drop tables'!$B$58:$B$94,C15)</f>
        <v>0.1455</v>
      </c>
      <c r="F15" s="4" t="n">
        <f aca="false">INDEX(Items!$F:$F,MATCH(C15,Items!$A:$A,0))</f>
        <v>8</v>
      </c>
      <c r="G15" s="22" t="n">
        <v>1</v>
      </c>
      <c r="H15" s="8" t="n">
        <f aca="false">E15*F15*G15</f>
        <v>1.164</v>
      </c>
    </row>
    <row r="16" customFormat="false" ht="15" hidden="false" customHeight="false" outlineLevel="0" collapsed="false">
      <c r="A16" s="4" t="s">
        <v>251</v>
      </c>
      <c r="B16" s="4" t="s">
        <v>251</v>
      </c>
      <c r="C16" s="4" t="s">
        <v>580</v>
      </c>
      <c r="D16" s="10" t="str">
        <f aca="false">INDEX(Items!$D:$D,MATCH(C16,Items!$A:$A,0))</f>
        <v>rare</v>
      </c>
      <c r="E16" s="21" t="n">
        <f aca="false">SUMIFS('Drop tables'!$C$58:$C$94,'Drop tables'!$A$58:$A$94,B16,'Drop tables'!$B$58:$B$94,C16)</f>
        <v>0.06</v>
      </c>
      <c r="F16" s="4" t="n">
        <f aca="false">INDEX(Items!$F:$F,MATCH(C16,Items!$A:$A,0))</f>
        <v>20</v>
      </c>
      <c r="G16" s="22" t="n">
        <v>1</v>
      </c>
      <c r="H16" s="8" t="n">
        <f aca="false">E16*F16*G16</f>
        <v>1.2</v>
      </c>
    </row>
    <row r="17" customFormat="false" ht="15" hidden="false" customHeight="false" outlineLevel="0" collapsed="false">
      <c r="A17" s="4" t="s">
        <v>251</v>
      </c>
      <c r="B17" s="4" t="s">
        <v>251</v>
      </c>
      <c r="C17" s="4" t="s">
        <v>559</v>
      </c>
      <c r="D17" s="9" t="str">
        <f aca="false">INDEX(Items!$D:$D,MATCH(C17,Items!$A:$A,0))</f>
        <v>uncommon</v>
      </c>
      <c r="E17" s="21" t="n">
        <f aca="false">SUMIFS('Drop tables'!$C$58:$C$94,'Drop tables'!$A$58:$A$94,B17,'Drop tables'!$B$58:$B$94,C17)</f>
        <v>0.1645</v>
      </c>
      <c r="F17" s="4" t="n">
        <f aca="false">INDEX(Items!$F:$F,MATCH(C17,Items!$A:$A,0))</f>
        <v>8</v>
      </c>
      <c r="G17" s="22" t="n">
        <v>2</v>
      </c>
      <c r="H17" s="8" t="n">
        <f aca="false">E17*F17*G17</f>
        <v>2.632</v>
      </c>
    </row>
    <row r="18" customFormat="false" ht="15" hidden="false" customHeight="false" outlineLevel="0" collapsed="false">
      <c r="A18" s="4" t="s">
        <v>251</v>
      </c>
      <c r="B18" s="4" t="s">
        <v>251</v>
      </c>
      <c r="C18" s="4" t="s">
        <v>555</v>
      </c>
      <c r="D18" s="4" t="str">
        <f aca="false">INDEX(Items!$D:$D,MATCH(C18,Items!$A:$A,0))</f>
        <v>common</v>
      </c>
      <c r="E18" s="21" t="n">
        <f aca="false">SUMIFS('Drop tables'!$C$58:$C$94,'Drop tables'!$A$58:$A$94,B18,'Drop tables'!$B$58:$B$94,C18)</f>
        <v>0.1645</v>
      </c>
      <c r="F18" s="4" t="n">
        <f aca="false">INDEX(Items!$F:$F,MATCH(C18,Items!$A:$A,0))</f>
        <v>3</v>
      </c>
      <c r="G18" s="22" t="n">
        <v>1.5</v>
      </c>
      <c r="H18" s="8" t="n">
        <f aca="false">E18*F18*G18</f>
        <v>0.74025</v>
      </c>
    </row>
    <row r="19" customFormat="false" ht="15" hidden="false" customHeight="false" outlineLevel="0" collapsed="false">
      <c r="A19" s="4" t="s">
        <v>153</v>
      </c>
      <c r="B19" s="4" t="s">
        <v>156</v>
      </c>
      <c r="C19" s="4" t="s">
        <v>580</v>
      </c>
      <c r="D19" s="10" t="str">
        <f aca="false">INDEX(Items!$D:$D,MATCH(C19,Items!$A:$A,0))</f>
        <v>rare</v>
      </c>
      <c r="E19" s="21" t="n">
        <f aca="false">SUMIFS('Drop tables'!$C$58:$C$94,'Drop tables'!$A$58:$A$94,B19,'Drop tables'!$B$58:$B$94,C19)</f>
        <v>0.005</v>
      </c>
      <c r="F19" s="4" t="n">
        <f aca="false">INDEX(Items!$F:$F,MATCH(C19,Items!$A:$A,0))</f>
        <v>20</v>
      </c>
      <c r="G19" s="22" t="n">
        <v>1</v>
      </c>
      <c r="H19" s="8" t="n">
        <f aca="false">E19*F19*G19</f>
        <v>0.1</v>
      </c>
    </row>
    <row r="20" customFormat="false" ht="15" hidden="false" customHeight="false" outlineLevel="0" collapsed="false">
      <c r="A20" s="4" t="s">
        <v>153</v>
      </c>
      <c r="B20" s="4" t="s">
        <v>156</v>
      </c>
      <c r="C20" s="4" t="s">
        <v>559</v>
      </c>
      <c r="D20" s="9" t="str">
        <f aca="false">INDEX(Items!$D:$D,MATCH(C20,Items!$A:$A,0))</f>
        <v>uncommon</v>
      </c>
      <c r="E20" s="21" t="n">
        <f aca="false">SUMIFS('Drop tables'!$C$58:$C$94,'Drop tables'!$A$58:$A$94,B20,'Drop tables'!$B$58:$B$94,C20)</f>
        <v>0.015</v>
      </c>
      <c r="F20" s="4" t="n">
        <f aca="false">INDEX(Items!$F:$F,MATCH(C20,Items!$A:$A,0))</f>
        <v>8</v>
      </c>
      <c r="G20" s="22" t="n">
        <v>1</v>
      </c>
      <c r="H20" s="8" t="n">
        <f aca="false">E20*F20*G20</f>
        <v>0.12</v>
      </c>
    </row>
    <row r="21" customFormat="false" ht="15" hidden="false" customHeight="false" outlineLevel="0" collapsed="false">
      <c r="A21" s="4" t="s">
        <v>153</v>
      </c>
      <c r="B21" s="4" t="s">
        <v>156</v>
      </c>
      <c r="C21" s="4" t="s">
        <v>583</v>
      </c>
      <c r="D21" s="9" t="str">
        <f aca="false">INDEX(Items!$D:$D,MATCH(C21,Items!$A:$A,0))</f>
        <v>uncommon</v>
      </c>
      <c r="E21" s="21" t="n">
        <f aca="false">SUMIFS('Drop tables'!$C$58:$C$94,'Drop tables'!$A$58:$A$94,B21,'Drop tables'!$B$58:$B$94,C21)</f>
        <v>0.294</v>
      </c>
      <c r="F21" s="4" t="n">
        <f aca="false">INDEX(Items!$F:$F,MATCH(C21,Items!$A:$A,0))</f>
        <v>5</v>
      </c>
      <c r="G21" s="22" t="n">
        <v>1.5</v>
      </c>
      <c r="H21" s="8" t="n">
        <f aca="false">E21*F21*G21</f>
        <v>2.205</v>
      </c>
    </row>
    <row r="22" customFormat="false" ht="15" hidden="false" customHeight="false" outlineLevel="0" collapsed="false">
      <c r="A22" s="4" t="s">
        <v>264</v>
      </c>
      <c r="B22" s="4" t="s">
        <v>156</v>
      </c>
      <c r="C22" s="4" t="s">
        <v>580</v>
      </c>
      <c r="D22" s="10" t="str">
        <f aca="false">INDEX(Items!$D:$D,MATCH(C22,Items!$A:$A,0))</f>
        <v>rare</v>
      </c>
      <c r="E22" s="21" t="n">
        <f aca="false">SUMIFS('Drop tables'!$C$58:$C$94,'Drop tables'!$A$58:$A$94,B22,'Drop tables'!$B$58:$B$94,C22)</f>
        <v>0.005</v>
      </c>
      <c r="F22" s="4" t="n">
        <f aca="false">INDEX(Items!$F:$F,MATCH(C22,Items!$A:$A,0))</f>
        <v>20</v>
      </c>
      <c r="G22" s="22" t="n">
        <v>1</v>
      </c>
      <c r="H22" s="8" t="n">
        <f aca="false">E22*F22*G22</f>
        <v>0.1</v>
      </c>
    </row>
    <row r="23" customFormat="false" ht="15" hidden="false" customHeight="false" outlineLevel="0" collapsed="false">
      <c r="A23" s="4" t="s">
        <v>264</v>
      </c>
      <c r="B23" s="4" t="s">
        <v>156</v>
      </c>
      <c r="C23" s="4" t="s">
        <v>559</v>
      </c>
      <c r="D23" s="9" t="str">
        <f aca="false">INDEX(Items!$D:$D,MATCH(C23,Items!$A:$A,0))</f>
        <v>uncommon</v>
      </c>
      <c r="E23" s="21" t="n">
        <f aca="false">SUMIFS('Drop tables'!$C$58:$C$94,'Drop tables'!$A$58:$A$94,B23,'Drop tables'!$B$58:$B$94,C23)</f>
        <v>0.015</v>
      </c>
      <c r="F23" s="4" t="n">
        <f aca="false">INDEX(Items!$F:$F,MATCH(C23,Items!$A:$A,0))</f>
        <v>8</v>
      </c>
      <c r="G23" s="22" t="n">
        <v>1</v>
      </c>
      <c r="H23" s="8" t="n">
        <f aca="false">E23*F23*G23</f>
        <v>0.12</v>
      </c>
    </row>
    <row r="24" customFormat="false" ht="15" hidden="false" customHeight="false" outlineLevel="0" collapsed="false">
      <c r="A24" s="4" t="s">
        <v>264</v>
      </c>
      <c r="B24" s="4" t="s">
        <v>156</v>
      </c>
      <c r="C24" s="4" t="s">
        <v>583</v>
      </c>
      <c r="D24" s="9" t="str">
        <f aca="false">INDEX(Items!$D:$D,MATCH(C24,Items!$A:$A,0))</f>
        <v>uncommon</v>
      </c>
      <c r="E24" s="21" t="n">
        <f aca="false">SUMIFS('Drop tables'!$C$58:$C$94,'Drop tables'!$A$58:$A$94,B24,'Drop tables'!$B$58:$B$94,C24)</f>
        <v>0.294</v>
      </c>
      <c r="F24" s="4" t="n">
        <f aca="false">INDEX(Items!$F:$F,MATCH(C24,Items!$A:$A,0))</f>
        <v>5</v>
      </c>
      <c r="G24" s="22" t="n">
        <v>1.5</v>
      </c>
      <c r="H24" s="8" t="n">
        <f aca="false">E24*F24*G24</f>
        <v>2.205</v>
      </c>
    </row>
    <row r="25" customFormat="false" ht="15" hidden="false" customHeight="false" outlineLevel="0" collapsed="false">
      <c r="A25" s="4" t="s">
        <v>276</v>
      </c>
      <c r="B25" s="4" t="s">
        <v>276</v>
      </c>
      <c r="C25" s="4" t="s">
        <v>580</v>
      </c>
      <c r="D25" s="10" t="str">
        <f aca="false">INDEX(Items!$D:$D,MATCH(C25,Items!$A:$A,0))</f>
        <v>rare</v>
      </c>
      <c r="E25" s="21" t="n">
        <f aca="false">SUMIFS('Drop tables'!$C$58:$C$94,'Drop tables'!$A$58:$A$94,B25,'Drop tables'!$B$58:$B$94,C25)</f>
        <v>0.03</v>
      </c>
      <c r="F25" s="4" t="n">
        <f aca="false">INDEX(Items!$F:$F,MATCH(C25,Items!$A:$A,0))</f>
        <v>20</v>
      </c>
      <c r="G25" s="22" t="n">
        <v>1</v>
      </c>
      <c r="H25" s="8" t="n">
        <f aca="false">E25*F25*G25</f>
        <v>0.6</v>
      </c>
    </row>
    <row r="26" customFormat="false" ht="15" hidden="false" customHeight="false" outlineLevel="0" collapsed="false">
      <c r="A26" s="4" t="s">
        <v>276</v>
      </c>
      <c r="B26" s="4" t="s">
        <v>276</v>
      </c>
      <c r="C26" s="4" t="s">
        <v>555</v>
      </c>
      <c r="D26" s="4" t="str">
        <f aca="false">INDEX(Items!$D:$D,MATCH(C26,Items!$A:$A,0))</f>
        <v>common</v>
      </c>
      <c r="E26" s="21" t="n">
        <f aca="false">SUMIFS('Drop tables'!$C$58:$C$94,'Drop tables'!$A$58:$A$94,B26,'Drop tables'!$B$58:$B$94,C26)</f>
        <v>0.12125</v>
      </c>
      <c r="F26" s="4" t="n">
        <f aca="false">INDEX(Items!$F:$F,MATCH(C26,Items!$A:$A,0))</f>
        <v>3</v>
      </c>
      <c r="G26" s="22" t="n">
        <v>1.5</v>
      </c>
      <c r="H26" s="8" t="n">
        <f aca="false">E26*F26*G26</f>
        <v>0.545625</v>
      </c>
    </row>
    <row r="27" customFormat="false" ht="15" hidden="false" customHeight="false" outlineLevel="0" collapsed="false">
      <c r="A27" s="4" t="s">
        <v>276</v>
      </c>
      <c r="B27" s="4" t="s">
        <v>276</v>
      </c>
      <c r="C27" s="4" t="s">
        <v>559</v>
      </c>
      <c r="D27" s="9" t="str">
        <f aca="false">INDEX(Items!$D:$D,MATCH(C27,Items!$A:$A,0))</f>
        <v>uncommon</v>
      </c>
      <c r="E27" s="21" t="n">
        <f aca="false">SUMIFS('Drop tables'!$C$58:$C$94,'Drop tables'!$A$58:$A$94,B27,'Drop tables'!$B$58:$B$94,C27)</f>
        <v>0.12125</v>
      </c>
      <c r="F27" s="4" t="n">
        <f aca="false">INDEX(Items!$F:$F,MATCH(C27,Items!$A:$A,0))</f>
        <v>8</v>
      </c>
      <c r="G27" s="22" t="n">
        <v>1</v>
      </c>
      <c r="H27" s="8" t="n">
        <f aca="false">E27*F27*G27</f>
        <v>0.97</v>
      </c>
    </row>
    <row r="28" customFormat="false" ht="15" hidden="false" customHeight="false" outlineLevel="0" collapsed="false">
      <c r="A28" s="4" t="s">
        <v>158</v>
      </c>
      <c r="B28" s="4" t="s">
        <v>160</v>
      </c>
      <c r="C28" s="4" t="s">
        <v>580</v>
      </c>
      <c r="D28" s="10" t="str">
        <f aca="false">INDEX(Items!$D:$D,MATCH(C28,Items!$A:$A,0))</f>
        <v>rare</v>
      </c>
      <c r="E28" s="21" t="n">
        <f aca="false">SUMIFS('Drop tables'!$C$58:$C$94,'Drop tables'!$A$58:$A$94,B28,'Drop tables'!$B$58:$B$94,C28)</f>
        <v>0.005</v>
      </c>
      <c r="F28" s="4" t="n">
        <f aca="false">INDEX(Items!$F:$F,MATCH(C28,Items!$A:$A,0))</f>
        <v>20</v>
      </c>
      <c r="G28" s="22" t="n">
        <v>1</v>
      </c>
      <c r="H28" s="8" t="n">
        <f aca="false">E28*F28*G28</f>
        <v>0.1</v>
      </c>
    </row>
    <row r="29" customFormat="false" ht="15" hidden="false" customHeight="false" outlineLevel="0" collapsed="false">
      <c r="A29" s="4" t="s">
        <v>158</v>
      </c>
      <c r="B29" s="4" t="s">
        <v>160</v>
      </c>
      <c r="C29" s="4" t="s">
        <v>559</v>
      </c>
      <c r="D29" s="9" t="str">
        <f aca="false">INDEX(Items!$D:$D,MATCH(C29,Items!$A:$A,0))</f>
        <v>uncommon</v>
      </c>
      <c r="E29" s="21" t="n">
        <f aca="false">SUMIFS('Drop tables'!$C$58:$C$94,'Drop tables'!$A$58:$A$94,B29,'Drop tables'!$B$58:$B$94,C29)</f>
        <v>0.015</v>
      </c>
      <c r="F29" s="4" t="n">
        <f aca="false">INDEX(Items!$F:$F,MATCH(C29,Items!$A:$A,0))</f>
        <v>8</v>
      </c>
      <c r="G29" s="22" t="n">
        <v>1</v>
      </c>
      <c r="H29" s="8" t="n">
        <f aca="false">E29*F29*G29</f>
        <v>0.12</v>
      </c>
    </row>
    <row r="30" customFormat="false" ht="15" hidden="false" customHeight="false" outlineLevel="0" collapsed="false">
      <c r="A30" s="4" t="s">
        <v>158</v>
      </c>
      <c r="B30" s="4" t="s">
        <v>160</v>
      </c>
      <c r="C30" s="4" t="s">
        <v>557</v>
      </c>
      <c r="D30" s="9" t="str">
        <f aca="false">INDEX(Items!$D:$D,MATCH(C30,Items!$A:$A,0))</f>
        <v>uncommon</v>
      </c>
      <c r="E30" s="21" t="n">
        <f aca="false">SUMIFS('Drop tables'!$C$58:$C$94,'Drop tables'!$A$58:$A$94,B30,'Drop tables'!$B$58:$B$94,C30)</f>
        <v>0.147</v>
      </c>
      <c r="F30" s="4" t="n">
        <f aca="false">INDEX(Items!$F:$F,MATCH(C30,Items!$A:$A,0))</f>
        <v>6</v>
      </c>
      <c r="G30" s="22" t="n">
        <v>1</v>
      </c>
      <c r="H30" s="8" t="n">
        <f aca="false">E30*F30*G30</f>
        <v>0.882</v>
      </c>
    </row>
    <row r="31" customFormat="false" ht="15" hidden="false" customHeight="false" outlineLevel="0" collapsed="false">
      <c r="A31" s="4" t="s">
        <v>294</v>
      </c>
      <c r="B31" s="4" t="s">
        <v>299</v>
      </c>
      <c r="C31" s="4" t="s">
        <v>580</v>
      </c>
      <c r="D31" s="10" t="str">
        <f aca="false">INDEX(Items!$D:$D,MATCH(C31,Items!$A:$A,0))</f>
        <v>rare</v>
      </c>
      <c r="E31" s="21" t="n">
        <f aca="false">SUMIFS('Drop tables'!$C$58:$C$94,'Drop tables'!$A$58:$A$94,B31,'Drop tables'!$B$58:$B$94,C31)</f>
        <v>0.04</v>
      </c>
      <c r="F31" s="4" t="n">
        <f aca="false">INDEX(Items!$F:$F,MATCH(C31,Items!$A:$A,0))</f>
        <v>20</v>
      </c>
      <c r="G31" s="22" t="n">
        <v>1</v>
      </c>
      <c r="H31" s="8" t="n">
        <f aca="false">E31*F31*G31</f>
        <v>0.8</v>
      </c>
    </row>
    <row r="32" customFormat="false" ht="15" hidden="false" customHeight="false" outlineLevel="0" collapsed="false">
      <c r="A32" s="4" t="s">
        <v>294</v>
      </c>
      <c r="B32" s="4" t="s">
        <v>299</v>
      </c>
      <c r="C32" s="4" t="s">
        <v>559</v>
      </c>
      <c r="D32" s="9" t="str">
        <f aca="false">INDEX(Items!$D:$D,MATCH(C32,Items!$A:$A,0))</f>
        <v>uncommon</v>
      </c>
      <c r="E32" s="21" t="n">
        <f aca="false">SUMIFS('Drop tables'!$C$58:$C$94,'Drop tables'!$A$58:$A$94,B32,'Drop tables'!$B$58:$B$94,C32)</f>
        <v>0.24</v>
      </c>
      <c r="F32" s="4" t="n">
        <f aca="false">INDEX(Items!$F:$F,MATCH(C32,Items!$A:$A,0))</f>
        <v>8</v>
      </c>
      <c r="G32" s="22" t="n">
        <v>1.5</v>
      </c>
      <c r="H32" s="8" t="n">
        <f aca="false">E32*F32*G32</f>
        <v>2.88</v>
      </c>
    </row>
    <row r="33" customFormat="false" ht="15" hidden="false" customHeight="false" outlineLevel="0" collapsed="false">
      <c r="A33" s="4" t="s">
        <v>309</v>
      </c>
      <c r="B33" s="4" t="s">
        <v>299</v>
      </c>
      <c r="C33" s="4" t="s">
        <v>580</v>
      </c>
      <c r="D33" s="10" t="str">
        <f aca="false">INDEX(Items!$D:$D,MATCH(C33,Items!$A:$A,0))</f>
        <v>rare</v>
      </c>
      <c r="E33" s="21" t="n">
        <f aca="false">SUMIFS('Drop tables'!$C$58:$C$94,'Drop tables'!$A$58:$A$94,B33,'Drop tables'!$B$58:$B$94,C33)</f>
        <v>0.04</v>
      </c>
      <c r="F33" s="4" t="n">
        <f aca="false">INDEX(Items!$F:$F,MATCH(C33,Items!$A:$A,0))</f>
        <v>20</v>
      </c>
      <c r="G33" s="22" t="n">
        <v>1</v>
      </c>
      <c r="H33" s="8" t="n">
        <f aca="false">E33*F33*G33</f>
        <v>0.8</v>
      </c>
    </row>
    <row r="34" customFormat="false" ht="15" hidden="false" customHeight="false" outlineLevel="0" collapsed="false">
      <c r="A34" s="4" t="s">
        <v>309</v>
      </c>
      <c r="B34" s="4" t="s">
        <v>299</v>
      </c>
      <c r="C34" s="4" t="s">
        <v>559</v>
      </c>
      <c r="D34" s="9" t="str">
        <f aca="false">INDEX(Items!$D:$D,MATCH(C34,Items!$A:$A,0))</f>
        <v>uncommon</v>
      </c>
      <c r="E34" s="21" t="n">
        <f aca="false">SUMIFS('Drop tables'!$C$58:$C$94,'Drop tables'!$A$58:$A$94,B34,'Drop tables'!$B$58:$B$94,C34)</f>
        <v>0.24</v>
      </c>
      <c r="F34" s="4" t="n">
        <f aca="false">INDEX(Items!$F:$F,MATCH(C34,Items!$A:$A,0))</f>
        <v>8</v>
      </c>
      <c r="G34" s="22" t="n">
        <v>1.5</v>
      </c>
      <c r="H34" s="8" t="n">
        <f aca="false">E34*F34*G34</f>
        <v>2.88</v>
      </c>
    </row>
    <row r="35" customFormat="false" ht="15" hidden="false" customHeight="false" outlineLevel="0" collapsed="false">
      <c r="A35" s="4" t="s">
        <v>326</v>
      </c>
      <c r="B35" s="4" t="s">
        <v>299</v>
      </c>
      <c r="C35" s="4" t="s">
        <v>580</v>
      </c>
      <c r="D35" s="10" t="str">
        <f aca="false">INDEX(Items!$D:$D,MATCH(C35,Items!$A:$A,0))</f>
        <v>rare</v>
      </c>
      <c r="E35" s="21" t="n">
        <f aca="false">SUMIFS('Drop tables'!$C$58:$C$94,'Drop tables'!$A$58:$A$94,B35,'Drop tables'!$B$58:$B$94,C35)</f>
        <v>0.04</v>
      </c>
      <c r="F35" s="4" t="n">
        <f aca="false">INDEX(Items!$F:$F,MATCH(C35,Items!$A:$A,0))</f>
        <v>20</v>
      </c>
      <c r="G35" s="22" t="n">
        <v>1</v>
      </c>
      <c r="H35" s="8" t="n">
        <f aca="false">E35*F35*G35</f>
        <v>0.8</v>
      </c>
    </row>
    <row r="36" customFormat="false" ht="15" hidden="false" customHeight="false" outlineLevel="0" collapsed="false">
      <c r="A36" s="4" t="s">
        <v>326</v>
      </c>
      <c r="B36" s="4" t="s">
        <v>299</v>
      </c>
      <c r="C36" s="4" t="s">
        <v>559</v>
      </c>
      <c r="D36" s="9" t="str">
        <f aca="false">INDEX(Items!$D:$D,MATCH(C36,Items!$A:$A,0))</f>
        <v>uncommon</v>
      </c>
      <c r="E36" s="21" t="n">
        <f aca="false">SUMIFS('Drop tables'!$C$58:$C$94,'Drop tables'!$A$58:$A$94,B36,'Drop tables'!$B$58:$B$94,C36)</f>
        <v>0.24</v>
      </c>
      <c r="F36" s="4" t="n">
        <f aca="false">INDEX(Items!$F:$F,MATCH(C36,Items!$A:$A,0))</f>
        <v>8</v>
      </c>
      <c r="G36" s="22" t="n">
        <v>1.5</v>
      </c>
      <c r="H36" s="8" t="n">
        <f aca="false">E36*F36*G36</f>
        <v>2.88</v>
      </c>
    </row>
    <row r="37" customFormat="false" ht="15" hidden="false" customHeight="false" outlineLevel="0" collapsed="false">
      <c r="A37" s="4" t="s">
        <v>340</v>
      </c>
      <c r="B37" s="4" t="s">
        <v>342</v>
      </c>
      <c r="C37" s="4" t="s">
        <v>580</v>
      </c>
      <c r="D37" s="10" t="str">
        <f aca="false">INDEX(Items!$D:$D,MATCH(C37,Items!$A:$A,0))</f>
        <v>rare</v>
      </c>
      <c r="E37" s="21" t="n">
        <f aca="false">SUMIFS('Drop tables'!$C$58:$C$94,'Drop tables'!$A$58:$A$94,B37,'Drop tables'!$B$58:$B$94,C37)</f>
        <v>0.0125</v>
      </c>
      <c r="F37" s="4" t="n">
        <f aca="false">INDEX(Items!$F:$F,MATCH(C37,Items!$A:$A,0))</f>
        <v>20</v>
      </c>
      <c r="G37" s="22" t="n">
        <v>1</v>
      </c>
      <c r="H37" s="8" t="n">
        <f aca="false">E37*F37*G37</f>
        <v>0.25</v>
      </c>
    </row>
    <row r="38" customFormat="false" ht="15" hidden="false" customHeight="false" outlineLevel="0" collapsed="false">
      <c r="A38" s="4" t="s">
        <v>340</v>
      </c>
      <c r="B38" s="4" t="s">
        <v>342</v>
      </c>
      <c r="C38" s="4" t="s">
        <v>559</v>
      </c>
      <c r="D38" s="9" t="str">
        <f aca="false">INDEX(Items!$D:$D,MATCH(C38,Items!$A:$A,0))</f>
        <v>uncommon</v>
      </c>
      <c r="E38" s="21" t="n">
        <f aca="false">SUMIFS('Drop tables'!$C$58:$C$94,'Drop tables'!$A$58:$A$94,B38,'Drop tables'!$B$58:$B$94,C38)</f>
        <v>0.0375</v>
      </c>
      <c r="F38" s="4" t="n">
        <f aca="false">INDEX(Items!$F:$F,MATCH(C38,Items!$A:$A,0))</f>
        <v>8</v>
      </c>
      <c r="G38" s="22" t="n">
        <v>1</v>
      </c>
      <c r="H38" s="8" t="n">
        <f aca="false">E38*F38*G38</f>
        <v>0.3</v>
      </c>
    </row>
    <row r="39" customFormat="false" ht="15" hidden="false" customHeight="false" outlineLevel="0" collapsed="false">
      <c r="A39" s="4" t="s">
        <v>340</v>
      </c>
      <c r="B39" s="4" t="s">
        <v>342</v>
      </c>
      <c r="C39" s="4" t="s">
        <v>582</v>
      </c>
      <c r="D39" s="9" t="str">
        <f aca="false">INDEX(Items!$D:$D,MATCH(C39,Items!$A:$A,0))</f>
        <v>uncommon</v>
      </c>
      <c r="E39" s="21" t="n">
        <f aca="false">SUMIFS('Drop tables'!$C$58:$C$94,'Drop tables'!$A$58:$A$94,B39,'Drop tables'!$B$58:$B$94,C39)</f>
        <v>0.342</v>
      </c>
      <c r="F39" s="4" t="n">
        <f aca="false">INDEX(Items!$F:$F,MATCH(C39,Items!$A:$A,0))</f>
        <v>6</v>
      </c>
      <c r="G39" s="22" t="n">
        <v>1</v>
      </c>
      <c r="H39" s="8" t="n">
        <f aca="false">E39*F39*G39</f>
        <v>2.052</v>
      </c>
    </row>
    <row r="40" customFormat="false" ht="15" hidden="false" customHeight="false" outlineLevel="0" collapsed="false">
      <c r="A40" s="4" t="s">
        <v>340</v>
      </c>
      <c r="B40" s="4" t="s">
        <v>342</v>
      </c>
      <c r="C40" s="4" t="s">
        <v>557</v>
      </c>
      <c r="D40" s="9" t="str">
        <f aca="false">INDEX(Items!$D:$D,MATCH(C40,Items!$A:$A,0))</f>
        <v>uncommon</v>
      </c>
      <c r="E40" s="21" t="n">
        <f aca="false">SUMIFS('Drop tables'!$C$58:$C$94,'Drop tables'!$A$58:$A$94,B40,'Drop tables'!$B$58:$B$94,C40)</f>
        <v>0.228</v>
      </c>
      <c r="F40" s="4" t="n">
        <f aca="false">INDEX(Items!$F:$F,MATCH(C40,Items!$A:$A,0))</f>
        <v>6</v>
      </c>
      <c r="G40" s="22" t="n">
        <v>1</v>
      </c>
      <c r="H40" s="8" t="n">
        <f aca="false">E40*F40*G40</f>
        <v>1.368</v>
      </c>
    </row>
    <row r="41" customFormat="false" ht="15" hidden="false" customHeight="false" outlineLevel="0" collapsed="false">
      <c r="A41" s="4" t="s">
        <v>340</v>
      </c>
      <c r="B41" s="4" t="s">
        <v>342</v>
      </c>
      <c r="C41" s="4" t="s">
        <v>549</v>
      </c>
      <c r="D41" s="4" t="str">
        <f aca="false">INDEX(Items!$D:$D,MATCH(C41,Items!$A:$A,0))</f>
        <v>common</v>
      </c>
      <c r="E41" s="21" t="n">
        <f aca="false">SUMIFS('Drop tables'!$C$58:$C$94,'Drop tables'!$A$58:$A$94,B41,'Drop tables'!$B$58:$B$94,C41)</f>
        <v>0.38</v>
      </c>
      <c r="F41" s="4" t="n">
        <f aca="false">INDEX(Items!$F:$F,MATCH(C41,Items!$A:$A,0))</f>
        <v>4</v>
      </c>
      <c r="G41" s="22" t="n">
        <v>1</v>
      </c>
      <c r="H41" s="8" t="n">
        <f aca="false">E41*F41*G41</f>
        <v>1.52</v>
      </c>
    </row>
    <row r="42" customFormat="false" ht="15" hidden="false" customHeight="false" outlineLevel="0" collapsed="false">
      <c r="A42" s="4" t="s">
        <v>348</v>
      </c>
      <c r="B42" s="4" t="s">
        <v>348</v>
      </c>
      <c r="C42" s="4" t="s">
        <v>580</v>
      </c>
      <c r="D42" s="10" t="str">
        <f aca="false">INDEX(Items!$D:$D,MATCH(C42,Items!$A:$A,0))</f>
        <v>rare</v>
      </c>
      <c r="E42" s="21" t="n">
        <f aca="false">SUMIFS('Drop tables'!$C$58:$C$94,'Drop tables'!$A$58:$A$94,B42,'Drop tables'!$B$58:$B$94,C42)</f>
        <v>0.08</v>
      </c>
      <c r="F42" s="4" t="n">
        <f aca="false">INDEX(Items!$F:$F,MATCH(C42,Items!$A:$A,0))</f>
        <v>20</v>
      </c>
      <c r="G42" s="22" t="n">
        <v>1</v>
      </c>
      <c r="H42" s="8" t="n">
        <f aca="false">E42*F42*G42</f>
        <v>1.6</v>
      </c>
    </row>
    <row r="43" customFormat="false" ht="15" hidden="false" customHeight="false" outlineLevel="0" collapsed="false">
      <c r="A43" s="4" t="s">
        <v>348</v>
      </c>
      <c r="B43" s="4" t="s">
        <v>348</v>
      </c>
      <c r="C43" s="4" t="s">
        <v>559</v>
      </c>
      <c r="D43" s="9" t="str">
        <f aca="false">INDEX(Items!$D:$D,MATCH(C43,Items!$A:$A,0))</f>
        <v>uncommon</v>
      </c>
      <c r="E43" s="21" t="n">
        <f aca="false">SUMIFS('Drop tables'!$C$58:$C$94,'Drop tables'!$A$58:$A$94,B43,'Drop tables'!$B$58:$B$94,C43)</f>
        <v>0.46</v>
      </c>
      <c r="F43" s="4" t="n">
        <f aca="false">INDEX(Items!$F:$F,MATCH(C43,Items!$A:$A,0))</f>
        <v>8</v>
      </c>
      <c r="G43" s="22" t="n">
        <v>2</v>
      </c>
      <c r="H43" s="8" t="n">
        <f aca="false">E43*F43*G43</f>
        <v>7.36</v>
      </c>
    </row>
    <row r="44" customFormat="false" ht="15" hidden="false" customHeight="false" outlineLevel="0" collapsed="false">
      <c r="A44" s="4" t="s">
        <v>354</v>
      </c>
      <c r="B44" s="4" t="s">
        <v>357</v>
      </c>
      <c r="C44" s="4" t="s">
        <v>580</v>
      </c>
      <c r="D44" s="10" t="str">
        <f aca="false">INDEX(Items!$D:$D,MATCH(C44,Items!$A:$A,0))</f>
        <v>rare</v>
      </c>
      <c r="E44" s="21" t="n">
        <f aca="false">SUMIFS('Drop tables'!$C$58:$C$94,'Drop tables'!$A$58:$A$94,B44,'Drop tables'!$B$58:$B$94,C44)</f>
        <v>0.12</v>
      </c>
      <c r="F44" s="4" t="n">
        <f aca="false">INDEX(Items!$F:$F,MATCH(C44,Items!$A:$A,0))</f>
        <v>20</v>
      </c>
      <c r="G44" s="22" t="n">
        <v>1.5</v>
      </c>
      <c r="H44" s="8" t="n">
        <f aca="false">E44*F44*G44</f>
        <v>3.6</v>
      </c>
    </row>
    <row r="45" customFormat="false" ht="15" hidden="false" customHeight="false" outlineLevel="0" collapsed="false">
      <c r="A45" s="4" t="s">
        <v>354</v>
      </c>
      <c r="B45" s="4" t="s">
        <v>357</v>
      </c>
      <c r="C45" s="4" t="s">
        <v>559</v>
      </c>
      <c r="D45" s="9" t="str">
        <f aca="false">INDEX(Items!$D:$D,MATCH(C45,Items!$A:$A,0))</f>
        <v>uncommon</v>
      </c>
      <c r="E45" s="21" t="n">
        <f aca="false">SUMIFS('Drop tables'!$C$58:$C$94,'Drop tables'!$A$58:$A$94,B45,'Drop tables'!$B$58:$B$94,C45)</f>
        <v>0.352</v>
      </c>
      <c r="F45" s="4" t="n">
        <f aca="false">INDEX(Items!$F:$F,MATCH(C45,Items!$A:$A,0))</f>
        <v>8</v>
      </c>
      <c r="G45" s="22" t="n">
        <v>3</v>
      </c>
      <c r="H45" s="8" t="n">
        <f aca="false">E45*F45*G45</f>
        <v>8.448</v>
      </c>
    </row>
    <row r="46" customFormat="false" ht="15" hidden="false" customHeight="false" outlineLevel="0" collapsed="false">
      <c r="A46" s="4" t="s">
        <v>354</v>
      </c>
      <c r="B46" s="4" t="s">
        <v>357</v>
      </c>
      <c r="C46" s="4" t="s">
        <v>555</v>
      </c>
      <c r="D46" s="4" t="str">
        <f aca="false">INDEX(Items!$D:$D,MATCH(C46,Items!$A:$A,0))</f>
        <v>common</v>
      </c>
      <c r="E46" s="21" t="n">
        <f aca="false">SUMIFS('Drop tables'!$C$58:$C$94,'Drop tables'!$A$58:$A$94,B46,'Drop tables'!$B$58:$B$94,C46)</f>
        <v>0.528</v>
      </c>
      <c r="F46" s="4" t="n">
        <f aca="false">INDEX(Items!$F:$F,MATCH(C46,Items!$A:$A,0))</f>
        <v>3</v>
      </c>
      <c r="G46" s="22" t="n">
        <v>1.5</v>
      </c>
      <c r="H46" s="8" t="n">
        <f aca="false">E46*F46*G46</f>
        <v>2.376</v>
      </c>
    </row>
    <row r="47" customFormat="false" ht="15" hidden="false" customHeight="false" outlineLevel="0" collapsed="false">
      <c r="A47" s="4" t="s">
        <v>365</v>
      </c>
      <c r="B47" s="4" t="s">
        <v>367</v>
      </c>
      <c r="C47" s="4" t="s">
        <v>580</v>
      </c>
      <c r="D47" s="10" t="str">
        <f aca="false">INDEX(Items!$D:$D,MATCH(C47,Items!$A:$A,0))</f>
        <v>rare</v>
      </c>
      <c r="E47" s="21" t="n">
        <f aca="false">SUMIFS('Drop tables'!$C$58:$C$94,'Drop tables'!$A$58:$A$94,B47,'Drop tables'!$B$58:$B$94,C47)</f>
        <v>0.03</v>
      </c>
      <c r="F47" s="4" t="n">
        <f aca="false">INDEX(Items!$F:$F,MATCH(C47,Items!$A:$A,0))</f>
        <v>20</v>
      </c>
      <c r="G47" s="22" t="n">
        <v>1</v>
      </c>
      <c r="H47" s="8" t="n">
        <f aca="false">E47*F47*G47</f>
        <v>0.6</v>
      </c>
    </row>
    <row r="48" customFormat="false" ht="15" hidden="false" customHeight="false" outlineLevel="0" collapsed="false">
      <c r="A48" s="4" t="s">
        <v>365</v>
      </c>
      <c r="B48" s="4" t="s">
        <v>367</v>
      </c>
      <c r="C48" s="4" t="s">
        <v>559</v>
      </c>
      <c r="D48" s="9" t="str">
        <f aca="false">INDEX(Items!$D:$D,MATCH(C48,Items!$A:$A,0))</f>
        <v>uncommon</v>
      </c>
      <c r="E48" s="21" t="n">
        <f aca="false">SUMIFS('Drop tables'!$C$58:$C$94,'Drop tables'!$A$58:$A$94,B48,'Drop tables'!$B$58:$B$94,C48)</f>
        <v>0.1455</v>
      </c>
      <c r="F48" s="4" t="n">
        <f aca="false">INDEX(Items!$F:$F,MATCH(C48,Items!$A:$A,0))</f>
        <v>8</v>
      </c>
      <c r="G48" s="22" t="n">
        <v>1.5</v>
      </c>
      <c r="H48" s="8" t="n">
        <f aca="false">E48*F48*G48</f>
        <v>1.746</v>
      </c>
    </row>
    <row r="49" customFormat="false" ht="15" hidden="false" customHeight="false" outlineLevel="0" collapsed="false">
      <c r="A49" s="4" t="s">
        <v>365</v>
      </c>
      <c r="B49" s="4" t="s">
        <v>367</v>
      </c>
      <c r="C49" s="4" t="s">
        <v>555</v>
      </c>
      <c r="D49" s="4" t="str">
        <f aca="false">INDEX(Items!$D:$D,MATCH(C49,Items!$A:$A,0))</f>
        <v>common</v>
      </c>
      <c r="E49" s="21" t="n">
        <f aca="false">SUMIFS('Drop tables'!$C$58:$C$94,'Drop tables'!$A$58:$A$94,B49,'Drop tables'!$B$58:$B$94,C49)</f>
        <v>0.1455</v>
      </c>
      <c r="F49" s="4" t="n">
        <f aca="false">INDEX(Items!$F:$F,MATCH(C49,Items!$A:$A,0))</f>
        <v>3</v>
      </c>
      <c r="G49" s="22" t="n">
        <v>1.5</v>
      </c>
      <c r="H49" s="8" t="n">
        <f aca="false">E49*F49*G49</f>
        <v>0.65475</v>
      </c>
    </row>
    <row r="50" customFormat="false" ht="15" hidden="false" customHeight="false" outlineLevel="0" collapsed="false">
      <c r="A50" s="4" t="s">
        <v>369</v>
      </c>
      <c r="B50" s="4" t="s">
        <v>367</v>
      </c>
      <c r="C50" s="4" t="s">
        <v>580</v>
      </c>
      <c r="D50" s="10" t="str">
        <f aca="false">INDEX(Items!$D:$D,MATCH(C50,Items!$A:$A,0))</f>
        <v>rare</v>
      </c>
      <c r="E50" s="21" t="n">
        <f aca="false">SUMIFS('Drop tables'!$C$58:$C$94,'Drop tables'!$A$58:$A$94,B50,'Drop tables'!$B$58:$B$94,C50)</f>
        <v>0.03</v>
      </c>
      <c r="F50" s="4" t="n">
        <f aca="false">INDEX(Items!$F:$F,MATCH(C50,Items!$A:$A,0))</f>
        <v>20</v>
      </c>
      <c r="G50" s="22" t="n">
        <v>1</v>
      </c>
      <c r="H50" s="8" t="n">
        <f aca="false">E50*F50*G50</f>
        <v>0.6</v>
      </c>
    </row>
    <row r="51" customFormat="false" ht="15" hidden="false" customHeight="false" outlineLevel="0" collapsed="false">
      <c r="A51" s="4" t="s">
        <v>369</v>
      </c>
      <c r="B51" s="4" t="s">
        <v>367</v>
      </c>
      <c r="C51" s="4" t="s">
        <v>559</v>
      </c>
      <c r="D51" s="9" t="str">
        <f aca="false">INDEX(Items!$D:$D,MATCH(C51,Items!$A:$A,0))</f>
        <v>uncommon</v>
      </c>
      <c r="E51" s="21" t="n">
        <f aca="false">SUMIFS('Drop tables'!$C$58:$C$94,'Drop tables'!$A$58:$A$94,B51,'Drop tables'!$B$58:$B$94,C51)</f>
        <v>0.1455</v>
      </c>
      <c r="F51" s="4" t="n">
        <f aca="false">INDEX(Items!$F:$F,MATCH(C51,Items!$A:$A,0))</f>
        <v>8</v>
      </c>
      <c r="G51" s="22" t="n">
        <v>1.5</v>
      </c>
      <c r="H51" s="8" t="n">
        <f aca="false">E51*F51*G51</f>
        <v>1.746</v>
      </c>
    </row>
    <row r="52" customFormat="false" ht="15" hidden="false" customHeight="false" outlineLevel="0" collapsed="false">
      <c r="A52" s="4" t="s">
        <v>369</v>
      </c>
      <c r="B52" s="4" t="s">
        <v>367</v>
      </c>
      <c r="C52" s="4" t="s">
        <v>555</v>
      </c>
      <c r="D52" s="4" t="str">
        <f aca="false">INDEX(Items!$D:$D,MATCH(C52,Items!$A:$A,0))</f>
        <v>common</v>
      </c>
      <c r="E52" s="21" t="n">
        <f aca="false">SUMIFS('Drop tables'!$C$58:$C$94,'Drop tables'!$A$58:$A$94,B52,'Drop tables'!$B$58:$B$94,C52)</f>
        <v>0.1455</v>
      </c>
      <c r="F52" s="4" t="n">
        <f aca="false">INDEX(Items!$F:$F,MATCH(C52,Items!$A:$A,0))</f>
        <v>3</v>
      </c>
      <c r="G52" s="22" t="n">
        <v>1.5</v>
      </c>
      <c r="H52" s="8" t="n">
        <f aca="false">E52*F52*G52</f>
        <v>0.65475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6" min="4" style="0" width="10"/>
    <col collapsed="false" customWidth="true" hidden="false" outlineLevel="0" max="11" min="7" style="0" width="14"/>
  </cols>
  <sheetData>
    <row r="1" customFormat="false" ht="17.35" hidden="false" customHeight="false" outlineLevel="0" collapsed="false">
      <c r="A1" s="1" t="s">
        <v>592</v>
      </c>
    </row>
    <row r="2" customFormat="false" ht="15" hidden="false" customHeight="false" outlineLevel="0" collapsed="false">
      <c r="A2" s="2" t="s">
        <v>593</v>
      </c>
    </row>
    <row r="4" customFormat="false" ht="31.5" hidden="false" customHeight="true" outlineLevel="0" collapsed="false">
      <c r="A4" s="5" t="s">
        <v>594</v>
      </c>
      <c r="B4" s="5" t="s">
        <v>595</v>
      </c>
      <c r="C4" s="5" t="s">
        <v>596</v>
      </c>
      <c r="D4" s="5" t="s">
        <v>597</v>
      </c>
      <c r="E4" s="5" t="s">
        <v>598</v>
      </c>
      <c r="F4" s="5" t="s">
        <v>599</v>
      </c>
      <c r="G4" s="5" t="s">
        <v>381</v>
      </c>
      <c r="H4" s="5" t="s">
        <v>382</v>
      </c>
      <c r="I4" s="5" t="s">
        <v>383</v>
      </c>
      <c r="J4" s="5" t="s">
        <v>384</v>
      </c>
      <c r="K4" s="5" t="s">
        <v>600</v>
      </c>
    </row>
    <row r="5" customFormat="false" ht="15" hidden="false" customHeight="false" outlineLevel="0" collapsed="false">
      <c r="A5" s="4" t="s">
        <v>102</v>
      </c>
      <c r="B5" s="4" t="s">
        <v>209</v>
      </c>
      <c r="C5" s="4" t="s">
        <v>225</v>
      </c>
      <c r="D5" s="7" t="n">
        <v>1</v>
      </c>
      <c r="E5" s="15" t="n">
        <v>0.15</v>
      </c>
      <c r="F5" s="4" t="n">
        <v>90</v>
      </c>
      <c r="G5" s="23" t="n">
        <f aca="false">MIN(1,E5*Regions!C28)</f>
        <v>0.15</v>
      </c>
      <c r="H5" s="23" t="n">
        <f aca="false">MIN(1,E5*Regions!D28)</f>
        <v>0.15</v>
      </c>
      <c r="I5" s="23" t="n">
        <f aca="false">MIN(1,E5*Regions!E28)</f>
        <v>0.15</v>
      </c>
      <c r="J5" s="23" t="n">
        <f aca="false">MIN(1,E5*Regions!F28)</f>
        <v>0.15</v>
      </c>
      <c r="K5" s="23" t="n">
        <f aca="false">E5</f>
        <v>0.15</v>
      </c>
    </row>
    <row r="6" customFormat="false" ht="15" hidden="false" customHeight="false" outlineLevel="0" collapsed="false">
      <c r="A6" s="4" t="s">
        <v>112</v>
      </c>
      <c r="B6" s="4" t="s">
        <v>601</v>
      </c>
      <c r="C6" s="4" t="s">
        <v>602</v>
      </c>
      <c r="D6" s="7" t="n">
        <v>5</v>
      </c>
      <c r="E6" s="15" t="n">
        <v>1</v>
      </c>
      <c r="F6" s="4" t="s">
        <v>74</v>
      </c>
      <c r="G6" s="23" t="n">
        <f aca="false">E6</f>
        <v>1</v>
      </c>
      <c r="H6" s="23" t="n">
        <f aca="false">E6</f>
        <v>1</v>
      </c>
      <c r="I6" s="23" t="n">
        <f aca="false">E6</f>
        <v>1</v>
      </c>
      <c r="J6" s="23" t="n">
        <f aca="false">E6</f>
        <v>1</v>
      </c>
      <c r="K6" s="23" t="n">
        <f aca="false">E6</f>
        <v>1</v>
      </c>
    </row>
    <row r="7" customFormat="false" ht="15" hidden="false" customHeight="false" outlineLevel="0" collapsed="false">
      <c r="A7" s="4" t="s">
        <v>112</v>
      </c>
      <c r="B7" s="4" t="s">
        <v>209</v>
      </c>
      <c r="C7" s="4" t="s">
        <v>217</v>
      </c>
      <c r="D7" s="7" t="n">
        <v>1</v>
      </c>
      <c r="E7" s="15" t="n">
        <v>0.15</v>
      </c>
      <c r="F7" s="4" t="n">
        <v>90</v>
      </c>
      <c r="G7" s="23" t="n">
        <f aca="false">MIN(1,E7*Regions!C26)</f>
        <v>0.15</v>
      </c>
      <c r="H7" s="23" t="n">
        <f aca="false">MIN(1,E7*Regions!D26)</f>
        <v>0.15</v>
      </c>
      <c r="I7" s="23" t="n">
        <f aca="false">MIN(1,E7*Regions!E26)</f>
        <v>0.15</v>
      </c>
      <c r="J7" s="23" t="n">
        <f aca="false">MIN(1,E7*Regions!F26)</f>
        <v>0.15</v>
      </c>
      <c r="K7" s="23" t="n">
        <f aca="false">E7</f>
        <v>0.15</v>
      </c>
    </row>
    <row r="8" customFormat="false" ht="15" hidden="false" customHeight="false" outlineLevel="0" collapsed="false">
      <c r="A8" s="4" t="s">
        <v>120</v>
      </c>
      <c r="B8" s="4" t="s">
        <v>601</v>
      </c>
      <c r="C8" s="4" t="s">
        <v>210</v>
      </c>
      <c r="D8" s="7" t="n">
        <v>1</v>
      </c>
      <c r="E8" s="15" t="n">
        <v>1</v>
      </c>
      <c r="F8" s="4" t="s">
        <v>74</v>
      </c>
      <c r="G8" s="23" t="n">
        <f aca="false">E8</f>
        <v>1</v>
      </c>
      <c r="H8" s="23" t="n">
        <f aca="false">E8</f>
        <v>1</v>
      </c>
      <c r="I8" s="23" t="n">
        <f aca="false">E8</f>
        <v>1</v>
      </c>
      <c r="J8" s="23" t="n">
        <f aca="false">E8</f>
        <v>1</v>
      </c>
      <c r="K8" s="23" t="n">
        <f aca="false">E8</f>
        <v>1</v>
      </c>
    </row>
    <row r="9" customFormat="false" ht="15" hidden="false" customHeight="false" outlineLevel="0" collapsed="false">
      <c r="A9" s="4" t="s">
        <v>120</v>
      </c>
      <c r="B9" s="4" t="s">
        <v>209</v>
      </c>
      <c r="C9" s="4" t="s">
        <v>207</v>
      </c>
      <c r="D9" s="7" t="n">
        <v>1</v>
      </c>
      <c r="E9" s="15" t="n">
        <v>0.3</v>
      </c>
      <c r="F9" s="4" t="n">
        <v>90</v>
      </c>
      <c r="G9" s="23" t="n">
        <f aca="false">MIN(1,E9*Regions!C24)</f>
        <v>0.3</v>
      </c>
      <c r="H9" s="23" t="n">
        <f aca="false">MIN(1,E9*Regions!D24)</f>
        <v>0.3</v>
      </c>
      <c r="I9" s="23" t="n">
        <f aca="false">MIN(1,E9*Regions!E24)</f>
        <v>0.3</v>
      </c>
      <c r="J9" s="23" t="n">
        <f aca="false">MIN(1,E9*Regions!F24)</f>
        <v>0.39</v>
      </c>
      <c r="K9" s="23" t="n">
        <f aca="false">E9</f>
        <v>0.3</v>
      </c>
    </row>
    <row r="10" customFormat="false" ht="15" hidden="false" customHeight="false" outlineLevel="0" collapsed="false">
      <c r="A10" s="4" t="s">
        <v>207</v>
      </c>
      <c r="B10" s="4" t="s">
        <v>209</v>
      </c>
      <c r="C10" s="4" t="s">
        <v>213</v>
      </c>
      <c r="D10" s="7" t="n">
        <v>1</v>
      </c>
      <c r="E10" s="15" t="n">
        <v>0.55</v>
      </c>
      <c r="F10" s="4" t="n">
        <v>60</v>
      </c>
      <c r="G10" s="23" t="n">
        <f aca="false">MIN(1,E10*Regions!C25)</f>
        <v>0.55</v>
      </c>
      <c r="H10" s="23" t="n">
        <f aca="false">MIN(1,E10*Regions!D25)</f>
        <v>0.495</v>
      </c>
      <c r="I10" s="23" t="n">
        <f aca="false">MIN(1,E10*Regions!E25)</f>
        <v>0.55</v>
      </c>
      <c r="J10" s="23" t="n">
        <f aca="false">MIN(1,E10*Regions!F25)</f>
        <v>0.6875</v>
      </c>
      <c r="K10" s="23" t="n">
        <f aca="false">E10*K9</f>
        <v>0.165</v>
      </c>
    </row>
    <row r="11" customFormat="false" ht="15" hidden="false" customHeight="false" outlineLevel="0" collapsed="false">
      <c r="A11" s="4" t="s">
        <v>207</v>
      </c>
      <c r="B11" s="4" t="s">
        <v>603</v>
      </c>
      <c r="C11" s="4" t="s">
        <v>604</v>
      </c>
      <c r="D11" s="7" t="n">
        <v>1</v>
      </c>
      <c r="E11" s="15" t="n">
        <v>0.3</v>
      </c>
      <c r="F11" s="4" t="s">
        <v>74</v>
      </c>
      <c r="G11" s="23" t="n">
        <f aca="false">E11</f>
        <v>0.3</v>
      </c>
      <c r="H11" s="23" t="n">
        <f aca="false">E11</f>
        <v>0.3</v>
      </c>
      <c r="I11" s="23" t="n">
        <f aca="false">E11</f>
        <v>0.3</v>
      </c>
      <c r="J11" s="23" t="n">
        <f aca="false">E11</f>
        <v>0.3</v>
      </c>
      <c r="K11" s="23" t="n">
        <f aca="false">E11*K9</f>
        <v>0.09</v>
      </c>
    </row>
    <row r="12" customFormat="false" ht="15" hidden="false" customHeight="false" outlineLevel="0" collapsed="false">
      <c r="A12" s="4" t="s">
        <v>217</v>
      </c>
      <c r="B12" s="4" t="s">
        <v>209</v>
      </c>
      <c r="C12" s="4" t="s">
        <v>221</v>
      </c>
      <c r="D12" s="7" t="n">
        <v>1</v>
      </c>
      <c r="E12" s="15" t="n">
        <v>0.55</v>
      </c>
      <c r="F12" s="4" t="n">
        <v>120</v>
      </c>
      <c r="G12" s="23" t="n">
        <f aca="false">MIN(1,E12*Regions!C27)</f>
        <v>0.55</v>
      </c>
      <c r="H12" s="23" t="n">
        <f aca="false">MIN(1,E12*Regions!D27)</f>
        <v>0.55</v>
      </c>
      <c r="I12" s="23" t="n">
        <f aca="false">MIN(1,E12*Regions!E27)</f>
        <v>0.55</v>
      </c>
      <c r="J12" s="23" t="n">
        <f aca="false">MIN(1,E12*Regions!F27)</f>
        <v>0.55</v>
      </c>
      <c r="K12" s="23" t="n">
        <f aca="false">E12*K7</f>
        <v>0.0825</v>
      </c>
    </row>
    <row r="13" customFormat="false" ht="15" hidden="false" customHeight="false" outlineLevel="0" collapsed="false">
      <c r="A13" s="4" t="s">
        <v>217</v>
      </c>
      <c r="B13" s="4" t="s">
        <v>603</v>
      </c>
      <c r="C13" s="4" t="s">
        <v>605</v>
      </c>
      <c r="D13" s="7" t="n">
        <v>1</v>
      </c>
      <c r="E13" s="15" t="n">
        <v>0.45</v>
      </c>
      <c r="F13" s="4" t="s">
        <v>74</v>
      </c>
      <c r="G13" s="23" t="n">
        <f aca="false">E13</f>
        <v>0.45</v>
      </c>
      <c r="H13" s="23" t="n">
        <f aca="false">E13</f>
        <v>0.45</v>
      </c>
      <c r="I13" s="23" t="n">
        <f aca="false">E13</f>
        <v>0.45</v>
      </c>
      <c r="J13" s="23" t="n">
        <f aca="false">E13</f>
        <v>0.45</v>
      </c>
      <c r="K13" s="23" t="n">
        <f aca="false">E13*K7</f>
        <v>0.0675</v>
      </c>
    </row>
    <row r="14" customFormat="false" ht="15" hidden="false" customHeight="false" outlineLevel="0" collapsed="false">
      <c r="A14" s="4" t="s">
        <v>225</v>
      </c>
      <c r="B14" s="4" t="s">
        <v>209</v>
      </c>
      <c r="C14" s="4" t="s">
        <v>229</v>
      </c>
      <c r="D14" s="7" t="n">
        <v>1</v>
      </c>
      <c r="E14" s="15" t="n">
        <v>0.5</v>
      </c>
      <c r="F14" s="4" t="n">
        <v>90</v>
      </c>
      <c r="G14" s="23" t="n">
        <f aca="false">MIN(1,E14*Regions!C29)</f>
        <v>0.5</v>
      </c>
      <c r="H14" s="23" t="n">
        <f aca="false">MIN(1,E14*Regions!D29)</f>
        <v>0.5</v>
      </c>
      <c r="I14" s="23" t="n">
        <f aca="false">MIN(1,E14*Regions!E29)</f>
        <v>0.5</v>
      </c>
      <c r="J14" s="23" t="n">
        <f aca="false">MIN(1,E14*Regions!F29)</f>
        <v>0.5</v>
      </c>
      <c r="K14" s="23" t="n">
        <f aca="false">E14*K5</f>
        <v>0.075</v>
      </c>
    </row>
    <row r="15" customFormat="false" ht="15" hidden="false" customHeight="false" outlineLevel="0" collapsed="false">
      <c r="A15" s="4" t="s">
        <v>225</v>
      </c>
      <c r="B15" s="4" t="s">
        <v>209</v>
      </c>
      <c r="C15" s="4" t="s">
        <v>232</v>
      </c>
      <c r="D15" s="7" t="n">
        <v>1</v>
      </c>
      <c r="E15" s="15" t="n">
        <v>0.25</v>
      </c>
      <c r="F15" s="4" t="n">
        <v>60</v>
      </c>
      <c r="G15" s="23" t="n">
        <f aca="false">MIN(1,E15*Regions!C30)</f>
        <v>0.25</v>
      </c>
      <c r="H15" s="23" t="n">
        <f aca="false">MIN(1,E15*Regions!D30)</f>
        <v>0.25</v>
      </c>
      <c r="I15" s="23" t="n">
        <f aca="false">MIN(1,E15*Regions!E30)</f>
        <v>0.25</v>
      </c>
      <c r="J15" s="23" t="n">
        <f aca="false">MIN(1,E15*Regions!F30)</f>
        <v>0.25</v>
      </c>
      <c r="K15" s="23" t="n">
        <f aca="false">E15*K5</f>
        <v>0.0375</v>
      </c>
    </row>
    <row r="16" customFormat="false" ht="15" hidden="false" customHeight="false" outlineLevel="0" collapsed="false">
      <c r="A16" s="4" t="s">
        <v>225</v>
      </c>
      <c r="B16" s="4" t="s">
        <v>603</v>
      </c>
      <c r="C16" s="4" t="s">
        <v>606</v>
      </c>
      <c r="D16" s="7" t="n">
        <v>1</v>
      </c>
      <c r="E16" s="15" t="n">
        <v>0.25</v>
      </c>
      <c r="F16" s="4" t="s">
        <v>74</v>
      </c>
      <c r="G16" s="23" t="n">
        <f aca="false">E16</f>
        <v>0.25</v>
      </c>
      <c r="H16" s="23" t="n">
        <f aca="false">E16</f>
        <v>0.25</v>
      </c>
      <c r="I16" s="23" t="n">
        <f aca="false">E16</f>
        <v>0.25</v>
      </c>
      <c r="J16" s="23" t="n">
        <f aca="false">E16</f>
        <v>0.25</v>
      </c>
      <c r="K16" s="23" t="n">
        <f aca="false">E16*K5</f>
        <v>0.0375</v>
      </c>
    </row>
    <row r="17" customFormat="false" ht="15" hidden="false" customHeight="false" outlineLevel="0" collapsed="false">
      <c r="A17" s="4" t="s">
        <v>234</v>
      </c>
      <c r="B17" s="4" t="s">
        <v>209</v>
      </c>
      <c r="C17" s="4" t="s">
        <v>238</v>
      </c>
      <c r="D17" s="7" t="n">
        <v>1</v>
      </c>
      <c r="E17" s="15" t="n">
        <v>0.6</v>
      </c>
      <c r="F17" s="4" t="n">
        <v>90</v>
      </c>
      <c r="G17" s="23" t="n">
        <f aca="false">MIN(1,E17*Regions!C32)</f>
        <v>0.6</v>
      </c>
      <c r="H17" s="23" t="n">
        <f aca="false">MIN(1,E17*Regions!D32)</f>
        <v>0.6</v>
      </c>
      <c r="I17" s="23" t="n">
        <f aca="false">MIN(1,E17*Regions!E32)</f>
        <v>0.6</v>
      </c>
      <c r="J17" s="23" t="n">
        <f aca="false">MIN(1,E17*Regions!F32)</f>
        <v>0.6</v>
      </c>
      <c r="K17" s="23" t="n">
        <f aca="false">E17</f>
        <v>0.6</v>
      </c>
    </row>
    <row r="18" customFormat="false" ht="15" hidden="false" customHeight="false" outlineLevel="0" collapsed="false">
      <c r="A18" s="4" t="s">
        <v>234</v>
      </c>
      <c r="B18" s="4" t="s">
        <v>603</v>
      </c>
      <c r="C18" s="4" t="s">
        <v>607</v>
      </c>
      <c r="D18" s="7" t="n">
        <v>1</v>
      </c>
      <c r="E18" s="15" t="n">
        <v>0.4</v>
      </c>
      <c r="F18" s="4" t="s">
        <v>74</v>
      </c>
      <c r="G18" s="23" t="n">
        <f aca="false">E18</f>
        <v>0.4</v>
      </c>
      <c r="H18" s="23" t="n">
        <f aca="false">E18</f>
        <v>0.4</v>
      </c>
      <c r="I18" s="23" t="n">
        <f aca="false">E18</f>
        <v>0.4</v>
      </c>
      <c r="J18" s="23" t="n">
        <f aca="false">E18</f>
        <v>0.4</v>
      </c>
      <c r="K18" s="23" t="n">
        <f aca="false">E18</f>
        <v>0.4</v>
      </c>
    </row>
    <row r="19" customFormat="false" ht="15" hidden="false" customHeight="false" outlineLevel="0" collapsed="false">
      <c r="A19" s="4" t="s">
        <v>240</v>
      </c>
      <c r="B19" s="4" t="s">
        <v>209</v>
      </c>
      <c r="C19" s="4" t="s">
        <v>244</v>
      </c>
      <c r="D19" s="7" t="n">
        <v>1</v>
      </c>
      <c r="E19" s="15" t="n">
        <v>0.5</v>
      </c>
      <c r="F19" s="4" t="n">
        <v>120</v>
      </c>
      <c r="G19" s="23" t="n">
        <f aca="false">MIN(1,E19*Regions!C34)</f>
        <v>0.5</v>
      </c>
      <c r="H19" s="23" t="n">
        <f aca="false">MIN(1,E19*Regions!D34)</f>
        <v>0.5</v>
      </c>
      <c r="I19" s="23" t="n">
        <f aca="false">MIN(1,E19*Regions!E34)</f>
        <v>0.5</v>
      </c>
      <c r="J19" s="23" t="n">
        <f aca="false">MIN(1,E19*Regions!F34)</f>
        <v>0.5</v>
      </c>
      <c r="K19" s="23" t="n">
        <f aca="false">E19</f>
        <v>0.5</v>
      </c>
    </row>
    <row r="20" customFormat="false" ht="15" hidden="false" customHeight="false" outlineLevel="0" collapsed="false">
      <c r="A20" s="4" t="s">
        <v>240</v>
      </c>
      <c r="B20" s="4" t="s">
        <v>603</v>
      </c>
      <c r="C20" s="4" t="s">
        <v>608</v>
      </c>
      <c r="D20" s="7" t="n">
        <v>1</v>
      </c>
      <c r="E20" s="15" t="n">
        <v>0.5</v>
      </c>
      <c r="F20" s="4" t="s">
        <v>74</v>
      </c>
      <c r="G20" s="23" t="n">
        <f aca="false">E20</f>
        <v>0.5</v>
      </c>
      <c r="H20" s="23" t="n">
        <f aca="false">E20</f>
        <v>0.5</v>
      </c>
      <c r="I20" s="23" t="n">
        <f aca="false">E20</f>
        <v>0.5</v>
      </c>
      <c r="J20" s="23" t="n">
        <f aca="false">E20</f>
        <v>0.5</v>
      </c>
      <c r="K20" s="23" t="n">
        <f aca="false">E20</f>
        <v>0.5</v>
      </c>
    </row>
    <row r="21" customFormat="false" ht="15" hidden="false" customHeight="false" outlineLevel="0" collapsed="false">
      <c r="A21" s="4" t="s">
        <v>244</v>
      </c>
      <c r="B21" s="4" t="s">
        <v>609</v>
      </c>
      <c r="C21" s="4" t="s">
        <v>610</v>
      </c>
      <c r="D21" s="7" t="n">
        <v>1</v>
      </c>
      <c r="E21" s="15" t="n">
        <v>1</v>
      </c>
      <c r="F21" s="4" t="s">
        <v>74</v>
      </c>
      <c r="G21" s="23" t="n">
        <f aca="false">E21</f>
        <v>1</v>
      </c>
      <c r="H21" s="23" t="n">
        <f aca="false">E21</f>
        <v>1</v>
      </c>
      <c r="I21" s="23" t="n">
        <f aca="false">E21</f>
        <v>1</v>
      </c>
      <c r="J21" s="23" t="n">
        <f aca="false">E21</f>
        <v>1</v>
      </c>
      <c r="K21" s="23" t="n">
        <f aca="false">E21*K19</f>
        <v>0.5</v>
      </c>
    </row>
    <row r="22" customFormat="false" ht="15" hidden="false" customHeight="false" outlineLevel="0" collapsed="false">
      <c r="A22" s="4" t="s">
        <v>247</v>
      </c>
      <c r="B22" s="4" t="s">
        <v>209</v>
      </c>
      <c r="C22" s="4" t="s">
        <v>251</v>
      </c>
      <c r="D22" s="7" t="n">
        <v>1</v>
      </c>
      <c r="E22" s="15" t="n">
        <v>0.6</v>
      </c>
      <c r="F22" s="4" t="n">
        <v>150</v>
      </c>
      <c r="G22" s="23" t="n">
        <f aca="false">MIN(1,E22*Regions!C36)</f>
        <v>0.6</v>
      </c>
      <c r="H22" s="23" t="n">
        <f aca="false">MIN(1,E22*Regions!D36)</f>
        <v>0.6</v>
      </c>
      <c r="I22" s="23" t="n">
        <f aca="false">MIN(1,E22*Regions!E36)</f>
        <v>0.6</v>
      </c>
      <c r="J22" s="23" t="n">
        <f aca="false">MIN(1,E22*Regions!F36)</f>
        <v>0.6</v>
      </c>
      <c r="K22" s="23" t="n">
        <f aca="false">E22</f>
        <v>0.6</v>
      </c>
    </row>
    <row r="23" customFormat="false" ht="15" hidden="false" customHeight="false" outlineLevel="0" collapsed="false">
      <c r="A23" s="4" t="s">
        <v>247</v>
      </c>
      <c r="B23" s="4" t="s">
        <v>603</v>
      </c>
      <c r="C23" s="4" t="s">
        <v>611</v>
      </c>
      <c r="D23" s="7" t="n">
        <v>1</v>
      </c>
      <c r="E23" s="15" t="n">
        <v>0.4</v>
      </c>
      <c r="F23" s="4" t="s">
        <v>74</v>
      </c>
      <c r="G23" s="23" t="n">
        <f aca="false">E23</f>
        <v>0.4</v>
      </c>
      <c r="H23" s="23" t="n">
        <f aca="false">E23</f>
        <v>0.4</v>
      </c>
      <c r="I23" s="23" t="n">
        <f aca="false">E23</f>
        <v>0.4</v>
      </c>
      <c r="J23" s="23" t="n">
        <f aca="false">E23</f>
        <v>0.4</v>
      </c>
      <c r="K23" s="23" t="n">
        <f aca="false">E23</f>
        <v>0.4</v>
      </c>
    </row>
    <row r="24" customFormat="false" ht="15" hidden="false" customHeight="false" outlineLevel="0" collapsed="false">
      <c r="A24" s="4" t="s">
        <v>127</v>
      </c>
      <c r="B24" s="4" t="s">
        <v>209</v>
      </c>
      <c r="C24" s="4" t="s">
        <v>279</v>
      </c>
      <c r="D24" s="7" t="n">
        <v>1</v>
      </c>
      <c r="E24" s="15" t="n">
        <v>0.08</v>
      </c>
      <c r="F24" s="4" t="n">
        <v>90</v>
      </c>
      <c r="G24" s="23" t="n">
        <f aca="false">MIN(1,E24*Regions!C45)</f>
        <v>0.08</v>
      </c>
      <c r="H24" s="23" t="n">
        <f aca="false">MIN(1,E24*Regions!D45)</f>
        <v>0.08</v>
      </c>
      <c r="I24" s="23" t="n">
        <f aca="false">MIN(1,E24*Regions!E45)</f>
        <v>0.08</v>
      </c>
      <c r="J24" s="23" t="n">
        <f aca="false">MIN(1,E24*Regions!F45)</f>
        <v>0.08</v>
      </c>
      <c r="K24" s="23" t="n">
        <f aca="false">E24</f>
        <v>0.08</v>
      </c>
    </row>
    <row r="25" customFormat="false" ht="15" hidden="false" customHeight="false" outlineLevel="0" collapsed="false">
      <c r="A25" s="4" t="s">
        <v>132</v>
      </c>
      <c r="B25" s="4" t="s">
        <v>209</v>
      </c>
      <c r="C25" s="4" t="s">
        <v>254</v>
      </c>
      <c r="D25" s="7" t="n">
        <v>1</v>
      </c>
      <c r="E25" s="15" t="n">
        <v>0.3</v>
      </c>
      <c r="F25" s="4" t="n">
        <v>90</v>
      </c>
      <c r="G25" s="23" t="n">
        <f aca="false">MIN(1,E25*Regions!C37)</f>
        <v>0.3</v>
      </c>
      <c r="H25" s="23" t="n">
        <f aca="false">MIN(1,E25*Regions!D37)</f>
        <v>0.3</v>
      </c>
      <c r="I25" s="23" t="n">
        <f aca="false">MIN(1,E25*Regions!E37)</f>
        <v>0.3</v>
      </c>
      <c r="J25" s="23" t="n">
        <f aca="false">MIN(1,E25*Regions!F37)</f>
        <v>0.3</v>
      </c>
      <c r="K25" s="23" t="n">
        <f aca="false">E25</f>
        <v>0.3</v>
      </c>
    </row>
    <row r="26" customFormat="false" ht="15" hidden="false" customHeight="false" outlineLevel="0" collapsed="false">
      <c r="A26" s="4" t="s">
        <v>136</v>
      </c>
      <c r="B26" s="4" t="s">
        <v>209</v>
      </c>
      <c r="C26" s="4" t="s">
        <v>264</v>
      </c>
      <c r="D26" s="7" t="n">
        <v>1</v>
      </c>
      <c r="E26" s="15" t="n">
        <v>0.1</v>
      </c>
      <c r="F26" s="4" t="n">
        <v>60</v>
      </c>
      <c r="G26" s="23" t="n">
        <f aca="false">MIN(1,E26*Regions!C40)</f>
        <v>0.1</v>
      </c>
      <c r="H26" s="23" t="n">
        <f aca="false">MIN(1,E26*Regions!D40)</f>
        <v>0.1</v>
      </c>
      <c r="I26" s="23" t="n">
        <f aca="false">MIN(1,E26*Regions!E40)</f>
        <v>0.1</v>
      </c>
      <c r="J26" s="23" t="n">
        <f aca="false">MIN(1,E26*Regions!F40)</f>
        <v>0.1</v>
      </c>
      <c r="K26" s="23" t="n">
        <f aca="false">E26</f>
        <v>0.1</v>
      </c>
    </row>
    <row r="27" customFormat="false" ht="15" hidden="false" customHeight="false" outlineLevel="0" collapsed="false">
      <c r="A27" s="4" t="s">
        <v>143</v>
      </c>
      <c r="B27" s="4" t="s">
        <v>209</v>
      </c>
      <c r="C27" s="4" t="s">
        <v>260</v>
      </c>
      <c r="D27" s="7" t="n">
        <v>1</v>
      </c>
      <c r="E27" s="15" t="n">
        <v>0.35</v>
      </c>
      <c r="F27" s="4" t="n">
        <v>60</v>
      </c>
      <c r="G27" s="23" t="n">
        <f aca="false">MIN(1,E27*Regions!C39)</f>
        <v>0.35</v>
      </c>
      <c r="H27" s="23" t="n">
        <f aca="false">MIN(1,E27*Regions!D39)</f>
        <v>0.35</v>
      </c>
      <c r="I27" s="23" t="n">
        <f aca="false">MIN(1,E27*Regions!E39)</f>
        <v>0.35</v>
      </c>
      <c r="J27" s="23" t="n">
        <f aca="false">MIN(1,E27*Regions!F39)</f>
        <v>0.35</v>
      </c>
      <c r="K27" s="23" t="n">
        <f aca="false">E27</f>
        <v>0.35</v>
      </c>
    </row>
    <row r="28" customFormat="false" ht="15" hidden="false" customHeight="false" outlineLevel="0" collapsed="false">
      <c r="A28" s="4" t="s">
        <v>147</v>
      </c>
      <c r="B28" s="4" t="s">
        <v>209</v>
      </c>
      <c r="C28" s="4" t="s">
        <v>265</v>
      </c>
      <c r="D28" s="7" t="n">
        <v>1</v>
      </c>
      <c r="E28" s="15" t="n">
        <v>0.35</v>
      </c>
      <c r="F28" s="4" t="n">
        <v>120</v>
      </c>
      <c r="G28" s="23" t="n">
        <f aca="false">MIN(1,E28*Regions!C41)</f>
        <v>0.35</v>
      </c>
      <c r="H28" s="23" t="n">
        <f aca="false">MIN(1,E28*Regions!D41)</f>
        <v>0.35</v>
      </c>
      <c r="I28" s="23" t="n">
        <f aca="false">MIN(1,E28*Regions!E41)</f>
        <v>0.35</v>
      </c>
      <c r="J28" s="23" t="n">
        <f aca="false">MIN(1,E28*Regions!F41)</f>
        <v>0.35</v>
      </c>
      <c r="K28" s="23" t="n">
        <f aca="false">E28</f>
        <v>0.35</v>
      </c>
    </row>
    <row r="29" customFormat="false" ht="15" hidden="false" customHeight="false" outlineLevel="0" collapsed="false">
      <c r="A29" s="4" t="s">
        <v>254</v>
      </c>
      <c r="B29" s="4" t="s">
        <v>209</v>
      </c>
      <c r="C29" s="4" t="s">
        <v>258</v>
      </c>
      <c r="D29" s="7" t="n">
        <v>1</v>
      </c>
      <c r="E29" s="15" t="n">
        <v>0.5</v>
      </c>
      <c r="F29" s="4" t="n">
        <v>90</v>
      </c>
      <c r="G29" s="23" t="n">
        <f aca="false">MIN(1,E29*Regions!C38)</f>
        <v>0.5</v>
      </c>
      <c r="H29" s="23" t="n">
        <f aca="false">MIN(1,E29*Regions!D38)</f>
        <v>0.5</v>
      </c>
      <c r="I29" s="23" t="n">
        <f aca="false">MIN(1,E29*Regions!E38)</f>
        <v>0.5</v>
      </c>
      <c r="J29" s="23" t="n">
        <f aca="false">MIN(1,E29*Regions!F38)</f>
        <v>0.5</v>
      </c>
      <c r="K29" s="23" t="n">
        <f aca="false">E29*K25</f>
        <v>0.15</v>
      </c>
    </row>
    <row r="30" customFormat="false" ht="15" hidden="false" customHeight="false" outlineLevel="0" collapsed="false">
      <c r="A30" s="4" t="s">
        <v>254</v>
      </c>
      <c r="B30" s="4" t="s">
        <v>209</v>
      </c>
      <c r="C30" s="4" t="s">
        <v>264</v>
      </c>
      <c r="D30" s="7" t="n">
        <v>1</v>
      </c>
      <c r="E30" s="15" t="n">
        <v>0.2</v>
      </c>
      <c r="F30" s="4" t="n">
        <v>60</v>
      </c>
      <c r="G30" s="23" t="n">
        <f aca="false">MIN(1,E30*Regions!C40)</f>
        <v>0.2</v>
      </c>
      <c r="H30" s="23" t="n">
        <f aca="false">MIN(1,E30*Regions!D40)</f>
        <v>0.2</v>
      </c>
      <c r="I30" s="23" t="n">
        <f aca="false">MIN(1,E30*Regions!E40)</f>
        <v>0.2</v>
      </c>
      <c r="J30" s="23" t="n">
        <f aca="false">MIN(1,E30*Regions!F40)</f>
        <v>0.2</v>
      </c>
      <c r="K30" s="23" t="n">
        <f aca="false">E30*K25</f>
        <v>0.06</v>
      </c>
    </row>
    <row r="31" customFormat="false" ht="15" hidden="false" customHeight="false" outlineLevel="0" collapsed="false">
      <c r="A31" s="4" t="s">
        <v>254</v>
      </c>
      <c r="B31" s="4" t="s">
        <v>603</v>
      </c>
      <c r="C31" s="4" t="s">
        <v>612</v>
      </c>
      <c r="D31" s="7" t="n">
        <v>1</v>
      </c>
      <c r="E31" s="15" t="n">
        <v>0.3</v>
      </c>
      <c r="F31" s="4" t="s">
        <v>74</v>
      </c>
      <c r="G31" s="23" t="n">
        <f aca="false">E31</f>
        <v>0.3</v>
      </c>
      <c r="H31" s="23" t="n">
        <f aca="false">E31</f>
        <v>0.3</v>
      </c>
      <c r="I31" s="23" t="n">
        <f aca="false">E31</f>
        <v>0.3</v>
      </c>
      <c r="J31" s="23" t="n">
        <f aca="false">E31</f>
        <v>0.3</v>
      </c>
      <c r="K31" s="23" t="n">
        <f aca="false">E31*K25</f>
        <v>0.09</v>
      </c>
    </row>
    <row r="32" customFormat="false" ht="15" hidden="false" customHeight="false" outlineLevel="0" collapsed="false">
      <c r="A32" s="4" t="s">
        <v>260</v>
      </c>
      <c r="B32" s="4" t="s">
        <v>209</v>
      </c>
      <c r="C32" s="4" t="s">
        <v>264</v>
      </c>
      <c r="D32" s="7" t="n">
        <v>1</v>
      </c>
      <c r="E32" s="15" t="n">
        <v>0.5</v>
      </c>
      <c r="F32" s="4" t="n">
        <v>60</v>
      </c>
      <c r="G32" s="23" t="n">
        <f aca="false">MIN(1,E32*Regions!C40)</f>
        <v>0.5</v>
      </c>
      <c r="H32" s="23" t="n">
        <f aca="false">MIN(1,E32*Regions!D40)</f>
        <v>0.5</v>
      </c>
      <c r="I32" s="23" t="n">
        <f aca="false">MIN(1,E32*Regions!E40)</f>
        <v>0.5</v>
      </c>
      <c r="J32" s="23" t="n">
        <f aca="false">MIN(1,E32*Regions!F40)</f>
        <v>0.5</v>
      </c>
      <c r="K32" s="23" t="n">
        <f aca="false">E32*K27</f>
        <v>0.175</v>
      </c>
    </row>
    <row r="33" customFormat="false" ht="15" hidden="false" customHeight="false" outlineLevel="0" collapsed="false">
      <c r="A33" s="4" t="s">
        <v>260</v>
      </c>
      <c r="B33" s="4" t="s">
        <v>603</v>
      </c>
      <c r="C33" s="4" t="s">
        <v>613</v>
      </c>
      <c r="D33" s="7" t="n">
        <v>1</v>
      </c>
      <c r="E33" s="15" t="n">
        <v>0.5</v>
      </c>
      <c r="F33" s="4" t="s">
        <v>74</v>
      </c>
      <c r="G33" s="23" t="n">
        <f aca="false">E33</f>
        <v>0.5</v>
      </c>
      <c r="H33" s="23" t="n">
        <f aca="false">E33</f>
        <v>0.5</v>
      </c>
      <c r="I33" s="23" t="n">
        <f aca="false">E33</f>
        <v>0.5</v>
      </c>
      <c r="J33" s="23" t="n">
        <f aca="false">E33</f>
        <v>0.5</v>
      </c>
      <c r="K33" s="23" t="n">
        <f aca="false">E33*K27</f>
        <v>0.175</v>
      </c>
    </row>
    <row r="34" customFormat="false" ht="15" hidden="false" customHeight="false" outlineLevel="0" collapsed="false">
      <c r="A34" s="4" t="s">
        <v>265</v>
      </c>
      <c r="B34" s="4" t="s">
        <v>209</v>
      </c>
      <c r="C34" s="4" t="s">
        <v>269</v>
      </c>
      <c r="D34" s="7" t="n">
        <v>1</v>
      </c>
      <c r="E34" s="15" t="n">
        <v>0.6</v>
      </c>
      <c r="F34" s="4" t="n">
        <v>120</v>
      </c>
      <c r="G34" s="23" t="n">
        <f aca="false">MIN(1,E34*Regions!C42)</f>
        <v>0.6</v>
      </c>
      <c r="H34" s="23" t="n">
        <f aca="false">MIN(1,E34*Regions!D42)</f>
        <v>0.6</v>
      </c>
      <c r="I34" s="23" t="n">
        <f aca="false">MIN(1,E34*Regions!E42)</f>
        <v>0.6</v>
      </c>
      <c r="J34" s="23" t="n">
        <f aca="false">MIN(1,E34*Regions!F42)</f>
        <v>0.6</v>
      </c>
      <c r="K34" s="23" t="n">
        <f aca="false">E34*K28</f>
        <v>0.21</v>
      </c>
    </row>
    <row r="35" customFormat="false" ht="15" hidden="false" customHeight="false" outlineLevel="0" collapsed="false">
      <c r="A35" s="4" t="s">
        <v>265</v>
      </c>
      <c r="B35" s="4" t="s">
        <v>603</v>
      </c>
      <c r="C35" s="4" t="s">
        <v>614</v>
      </c>
      <c r="D35" s="7" t="n">
        <v>1</v>
      </c>
      <c r="E35" s="15" t="n">
        <v>0.4</v>
      </c>
      <c r="F35" s="4" t="s">
        <v>74</v>
      </c>
      <c r="G35" s="23" t="n">
        <f aca="false">E35</f>
        <v>0.4</v>
      </c>
      <c r="H35" s="23" t="n">
        <f aca="false">E35</f>
        <v>0.4</v>
      </c>
      <c r="I35" s="23" t="n">
        <f aca="false">E35</f>
        <v>0.4</v>
      </c>
      <c r="J35" s="23" t="n">
        <f aca="false">E35</f>
        <v>0.4</v>
      </c>
      <c r="K35" s="23" t="n">
        <f aca="false">E35*K28</f>
        <v>0.14</v>
      </c>
    </row>
    <row r="36" customFormat="false" ht="15" hidden="false" customHeight="false" outlineLevel="0" collapsed="false">
      <c r="A36" s="4" t="s">
        <v>272</v>
      </c>
      <c r="B36" s="4" t="s">
        <v>209</v>
      </c>
      <c r="C36" s="4" t="s">
        <v>276</v>
      </c>
      <c r="D36" s="7" t="n">
        <v>1</v>
      </c>
      <c r="E36" s="15" t="n">
        <v>0.5</v>
      </c>
      <c r="F36" s="4" t="n">
        <v>150</v>
      </c>
      <c r="G36" s="23" t="n">
        <f aca="false">MIN(1,E36*Regions!C44)</f>
        <v>0.5</v>
      </c>
      <c r="H36" s="23" t="n">
        <f aca="false">MIN(1,E36*Regions!D44)</f>
        <v>0.5</v>
      </c>
      <c r="I36" s="23" t="n">
        <f aca="false">MIN(1,E36*Regions!E44)</f>
        <v>0.5</v>
      </c>
      <c r="J36" s="23" t="n">
        <f aca="false">MIN(1,E36*Regions!F44)</f>
        <v>0.5</v>
      </c>
      <c r="K36" s="23" t="n">
        <f aca="false">E36</f>
        <v>0.5</v>
      </c>
    </row>
    <row r="37" customFormat="false" ht="15" hidden="false" customHeight="false" outlineLevel="0" collapsed="false">
      <c r="A37" s="4" t="s">
        <v>272</v>
      </c>
      <c r="B37" s="4" t="s">
        <v>603</v>
      </c>
      <c r="C37" s="4" t="s">
        <v>615</v>
      </c>
      <c r="D37" s="7" t="n">
        <v>1</v>
      </c>
      <c r="E37" s="15" t="n">
        <v>0.3</v>
      </c>
      <c r="F37" s="4" t="s">
        <v>74</v>
      </c>
      <c r="G37" s="23" t="n">
        <f aca="false">E37</f>
        <v>0.3</v>
      </c>
      <c r="H37" s="23" t="n">
        <f aca="false">E37</f>
        <v>0.3</v>
      </c>
      <c r="I37" s="23" t="n">
        <f aca="false">E37</f>
        <v>0.3</v>
      </c>
      <c r="J37" s="23" t="n">
        <f aca="false">E37</f>
        <v>0.3</v>
      </c>
      <c r="K37" s="23" t="n">
        <f aca="false">E37</f>
        <v>0.3</v>
      </c>
    </row>
    <row r="38" customFormat="false" ht="15" hidden="false" customHeight="false" outlineLevel="0" collapsed="false">
      <c r="A38" s="4" t="s">
        <v>272</v>
      </c>
      <c r="B38" s="4" t="s">
        <v>603</v>
      </c>
      <c r="C38" s="4" t="s">
        <v>616</v>
      </c>
      <c r="D38" s="7" t="n">
        <v>1</v>
      </c>
      <c r="E38" s="15" t="n">
        <v>0.2</v>
      </c>
      <c r="F38" s="4" t="s">
        <v>74</v>
      </c>
      <c r="G38" s="23" t="n">
        <f aca="false">E38</f>
        <v>0.2</v>
      </c>
      <c r="H38" s="23" t="n">
        <f aca="false">E38</f>
        <v>0.2</v>
      </c>
      <c r="I38" s="23" t="n">
        <f aca="false">E38</f>
        <v>0.2</v>
      </c>
      <c r="J38" s="23" t="n">
        <f aca="false">E38</f>
        <v>0.2</v>
      </c>
      <c r="K38" s="23" t="n">
        <f aca="false">E38</f>
        <v>0.2</v>
      </c>
    </row>
    <row r="39" customFormat="false" ht="15" hidden="false" customHeight="false" outlineLevel="0" collapsed="false">
      <c r="A39" s="4" t="s">
        <v>279</v>
      </c>
      <c r="B39" s="4" t="s">
        <v>209</v>
      </c>
      <c r="C39" s="4" t="s">
        <v>290</v>
      </c>
      <c r="D39" s="7" t="n">
        <v>1</v>
      </c>
      <c r="E39" s="15" t="n">
        <v>0.55</v>
      </c>
      <c r="F39" s="4" t="n">
        <v>120</v>
      </c>
      <c r="G39" s="23" t="n">
        <f aca="false">MIN(1,E39*Regions!C48)</f>
        <v>0.55</v>
      </c>
      <c r="H39" s="23" t="n">
        <f aca="false">MIN(1,E39*Regions!D48)</f>
        <v>0.55</v>
      </c>
      <c r="I39" s="23" t="n">
        <f aca="false">MIN(1,E39*Regions!E48)</f>
        <v>0.55</v>
      </c>
      <c r="J39" s="23" t="n">
        <f aca="false">MIN(1,E39*Regions!F48)</f>
        <v>0.55</v>
      </c>
      <c r="K39" s="23" t="n">
        <f aca="false">E39*K24</f>
        <v>0.044</v>
      </c>
    </row>
    <row r="40" customFormat="false" ht="15" hidden="false" customHeight="false" outlineLevel="0" collapsed="false">
      <c r="A40" s="4" t="s">
        <v>279</v>
      </c>
      <c r="B40" s="4" t="s">
        <v>603</v>
      </c>
      <c r="C40" s="4" t="s">
        <v>617</v>
      </c>
      <c r="D40" s="7" t="n">
        <v>1</v>
      </c>
      <c r="E40" s="15" t="n">
        <v>0.45</v>
      </c>
      <c r="F40" s="4" t="s">
        <v>74</v>
      </c>
      <c r="G40" s="23" t="n">
        <f aca="false">E40</f>
        <v>0.45</v>
      </c>
      <c r="H40" s="23" t="n">
        <f aca="false">E40</f>
        <v>0.45</v>
      </c>
      <c r="I40" s="23" t="n">
        <f aca="false">E40</f>
        <v>0.45</v>
      </c>
      <c r="J40" s="23" t="n">
        <f aca="false">E40</f>
        <v>0.45</v>
      </c>
      <c r="K40" s="23" t="n">
        <f aca="false">E40*K24</f>
        <v>0.036</v>
      </c>
    </row>
    <row r="41" customFormat="false" ht="15" hidden="false" customHeight="false" outlineLevel="0" collapsed="false">
      <c r="A41" s="4" t="s">
        <v>283</v>
      </c>
      <c r="B41" s="4" t="s">
        <v>209</v>
      </c>
      <c r="C41" s="4" t="s">
        <v>287</v>
      </c>
      <c r="D41" s="7" t="n">
        <v>1</v>
      </c>
      <c r="E41" s="15" t="n">
        <v>0.6</v>
      </c>
      <c r="F41" s="4" t="n">
        <v>150</v>
      </c>
      <c r="G41" s="23" t="n">
        <f aca="false">MIN(1,E41*Regions!C47)</f>
        <v>0.6</v>
      </c>
      <c r="H41" s="23" t="n">
        <f aca="false">MIN(1,E41*Regions!D47)</f>
        <v>0.6</v>
      </c>
      <c r="I41" s="23" t="n">
        <f aca="false">MIN(1,E41*Regions!E47)</f>
        <v>0.6</v>
      </c>
      <c r="J41" s="23" t="n">
        <f aca="false">MIN(1,E41*Regions!F47)</f>
        <v>0.6</v>
      </c>
      <c r="K41" s="23" t="n">
        <f aca="false">E41</f>
        <v>0.6</v>
      </c>
    </row>
    <row r="42" customFormat="false" ht="15" hidden="false" customHeight="false" outlineLevel="0" collapsed="false">
      <c r="A42" s="4" t="s">
        <v>283</v>
      </c>
      <c r="B42" s="4" t="s">
        <v>603</v>
      </c>
      <c r="C42" s="4" t="s">
        <v>618</v>
      </c>
      <c r="D42" s="7" t="n">
        <v>1</v>
      </c>
      <c r="E42" s="15" t="n">
        <v>0.4</v>
      </c>
      <c r="F42" s="4" t="s">
        <v>74</v>
      </c>
      <c r="G42" s="23" t="n">
        <f aca="false">E42</f>
        <v>0.4</v>
      </c>
      <c r="H42" s="23" t="n">
        <f aca="false">E42</f>
        <v>0.4</v>
      </c>
      <c r="I42" s="23" t="n">
        <f aca="false">E42</f>
        <v>0.4</v>
      </c>
      <c r="J42" s="23" t="n">
        <f aca="false">E42</f>
        <v>0.4</v>
      </c>
      <c r="K42" s="23" t="n">
        <f aca="false">E42</f>
        <v>0.4</v>
      </c>
    </row>
    <row r="43" customFormat="false" ht="15" hidden="false" customHeight="false" outlineLevel="0" collapsed="false">
      <c r="A43" s="4" t="s">
        <v>287</v>
      </c>
      <c r="B43" s="4" t="s">
        <v>619</v>
      </c>
      <c r="C43" s="4" t="s">
        <v>620</v>
      </c>
      <c r="D43" s="7" t="n">
        <v>1</v>
      </c>
      <c r="E43" s="15" t="n">
        <v>1</v>
      </c>
      <c r="F43" s="4" t="s">
        <v>74</v>
      </c>
      <c r="G43" s="23" t="n">
        <f aca="false">E43</f>
        <v>1</v>
      </c>
      <c r="H43" s="23" t="n">
        <f aca="false">E43</f>
        <v>1</v>
      </c>
      <c r="I43" s="23" t="n">
        <f aca="false">E43</f>
        <v>1</v>
      </c>
      <c r="J43" s="23" t="n">
        <f aca="false">E43</f>
        <v>1</v>
      </c>
      <c r="K43" s="23" t="n">
        <f aca="false">E43*K41</f>
        <v>0.6</v>
      </c>
    </row>
    <row r="44" customFormat="false" ht="15" hidden="false" customHeight="false" outlineLevel="0" collapsed="false">
      <c r="A44" s="4" t="s">
        <v>290</v>
      </c>
      <c r="B44" s="4" t="s">
        <v>609</v>
      </c>
      <c r="C44" s="4" t="s">
        <v>610</v>
      </c>
      <c r="D44" s="7" t="n">
        <v>1</v>
      </c>
      <c r="E44" s="15" t="n">
        <v>1</v>
      </c>
      <c r="F44" s="4" t="s">
        <v>74</v>
      </c>
      <c r="G44" s="23" t="n">
        <f aca="false">E44</f>
        <v>1</v>
      </c>
      <c r="H44" s="23" t="n">
        <f aca="false">E44</f>
        <v>1</v>
      </c>
      <c r="I44" s="23" t="n">
        <f aca="false">E44</f>
        <v>1</v>
      </c>
      <c r="J44" s="23" t="n">
        <f aca="false">E44</f>
        <v>1</v>
      </c>
      <c r="K44" s="23" t="n">
        <f aca="false">E44*K39</f>
        <v>0.044</v>
      </c>
    </row>
    <row r="45" customFormat="false" ht="15" hidden="false" customHeight="false" outlineLevel="0" collapsed="false">
      <c r="A45" s="4" t="s">
        <v>290</v>
      </c>
      <c r="B45" s="4" t="s">
        <v>209</v>
      </c>
      <c r="C45" s="4" t="s">
        <v>264</v>
      </c>
      <c r="D45" s="7" t="n">
        <v>1</v>
      </c>
      <c r="E45" s="15" t="n">
        <v>0.25</v>
      </c>
      <c r="F45" s="4" t="n">
        <v>60</v>
      </c>
      <c r="G45" s="23" t="n">
        <f aca="false">MIN(1,E45*Regions!C40)</f>
        <v>0.25</v>
      </c>
      <c r="H45" s="23" t="n">
        <f aca="false">MIN(1,E45*Regions!D40)</f>
        <v>0.25</v>
      </c>
      <c r="I45" s="23" t="n">
        <f aca="false">MIN(1,E45*Regions!E40)</f>
        <v>0.25</v>
      </c>
      <c r="J45" s="23" t="n">
        <f aca="false">MIN(1,E45*Regions!F40)</f>
        <v>0.25</v>
      </c>
      <c r="K45" s="23" t="n">
        <f aca="false">E45*K39</f>
        <v>0.011</v>
      </c>
    </row>
    <row r="46" customFormat="false" ht="15" hidden="false" customHeight="false" outlineLevel="0" collapsed="false">
      <c r="A46" s="4" t="s">
        <v>173</v>
      </c>
      <c r="B46" s="4" t="s">
        <v>209</v>
      </c>
      <c r="C46" s="4" t="s">
        <v>234</v>
      </c>
      <c r="D46" s="7" t="n">
        <v>1</v>
      </c>
      <c r="E46" s="15" t="n">
        <v>0.2</v>
      </c>
      <c r="F46" s="4" t="n">
        <v>90</v>
      </c>
      <c r="G46" s="23" t="n">
        <f aca="false">MIN(1,E46*Regions!C31)</f>
        <v>0.2</v>
      </c>
      <c r="H46" s="23" t="n">
        <f aca="false">MIN(1,E46*Regions!D31)</f>
        <v>0.2</v>
      </c>
      <c r="I46" s="23" t="n">
        <f aca="false">MIN(1,E46*Regions!E31)</f>
        <v>0.2</v>
      </c>
      <c r="J46" s="23" t="n">
        <f aca="false">MIN(1,E46*Regions!F31)</f>
        <v>0.2</v>
      </c>
      <c r="K46" s="23" t="n">
        <f aca="false">E46</f>
        <v>0.2</v>
      </c>
    </row>
    <row r="47" customFormat="false" ht="15" hidden="false" customHeight="false" outlineLevel="0" collapsed="false">
      <c r="A47" s="4" t="s">
        <v>180</v>
      </c>
      <c r="B47" s="4" t="s">
        <v>209</v>
      </c>
      <c r="C47" s="4" t="s">
        <v>283</v>
      </c>
      <c r="D47" s="7" t="n">
        <v>1</v>
      </c>
      <c r="E47" s="15" t="n">
        <v>0.12</v>
      </c>
      <c r="F47" s="4" t="n">
        <v>90</v>
      </c>
      <c r="G47" s="23" t="n">
        <f aca="false">MIN(1,E47*Regions!C46)</f>
        <v>0.12</v>
      </c>
      <c r="H47" s="23" t="n">
        <f aca="false">MIN(1,E47*Regions!D46)</f>
        <v>0.12</v>
      </c>
      <c r="I47" s="23" t="n">
        <f aca="false">MIN(1,E47*Regions!E46)</f>
        <v>0.12</v>
      </c>
      <c r="J47" s="23" t="n">
        <f aca="false">MIN(1,E47*Regions!F46)</f>
        <v>0.12</v>
      </c>
      <c r="K47" s="23" t="n">
        <f aca="false">E47</f>
        <v>0.12</v>
      </c>
    </row>
    <row r="48" customFormat="false" ht="15" hidden="false" customHeight="false" outlineLevel="0" collapsed="false">
      <c r="A48" s="4" t="s">
        <v>187</v>
      </c>
      <c r="B48" s="4" t="s">
        <v>609</v>
      </c>
      <c r="C48" s="4" t="s">
        <v>610</v>
      </c>
      <c r="D48" s="7" t="n">
        <v>1</v>
      </c>
      <c r="E48" s="15" t="n">
        <v>1</v>
      </c>
      <c r="F48" s="4" t="s">
        <v>74</v>
      </c>
      <c r="G48" s="23" t="n">
        <f aca="false">E48</f>
        <v>1</v>
      </c>
      <c r="H48" s="23" t="n">
        <f aca="false">E48</f>
        <v>1</v>
      </c>
      <c r="I48" s="23" t="n">
        <f aca="false">E48</f>
        <v>1</v>
      </c>
      <c r="J48" s="23" t="n">
        <f aca="false">E48</f>
        <v>1</v>
      </c>
      <c r="K48" s="23" t="n">
        <f aca="false">E48</f>
        <v>1</v>
      </c>
    </row>
    <row r="49" customFormat="false" ht="15" hidden="false" customHeight="false" outlineLevel="0" collapsed="false">
      <c r="A49" s="4" t="s">
        <v>190</v>
      </c>
      <c r="B49" s="4" t="s">
        <v>621</v>
      </c>
      <c r="C49" s="4" t="s">
        <v>142</v>
      </c>
      <c r="D49" s="7" t="n">
        <v>1</v>
      </c>
      <c r="E49" s="15" t="n">
        <v>1</v>
      </c>
      <c r="F49" s="4" t="s">
        <v>74</v>
      </c>
      <c r="G49" s="23" t="n">
        <f aca="false">E49</f>
        <v>1</v>
      </c>
      <c r="H49" s="23" t="n">
        <f aca="false">E49</f>
        <v>1</v>
      </c>
      <c r="I49" s="23" t="n">
        <f aca="false">E49</f>
        <v>1</v>
      </c>
      <c r="J49" s="23" t="n">
        <f aca="false">E49</f>
        <v>1</v>
      </c>
      <c r="K49" s="23" t="n">
        <f aca="false">E49</f>
        <v>1</v>
      </c>
    </row>
    <row r="50" customFormat="false" ht="15" hidden="false" customHeight="false" outlineLevel="0" collapsed="false">
      <c r="A50" s="4" t="s">
        <v>195</v>
      </c>
      <c r="B50" s="4" t="s">
        <v>209</v>
      </c>
      <c r="C50" s="4" t="s">
        <v>240</v>
      </c>
      <c r="D50" s="7" t="n">
        <v>1</v>
      </c>
      <c r="E50" s="15" t="n">
        <v>0.3</v>
      </c>
      <c r="F50" s="4" t="n">
        <v>120</v>
      </c>
      <c r="G50" s="23" t="n">
        <f aca="false">MIN(1,E50*Regions!C33)</f>
        <v>0.3</v>
      </c>
      <c r="H50" s="23" t="n">
        <f aca="false">MIN(1,E50*Regions!D33)</f>
        <v>0.3</v>
      </c>
      <c r="I50" s="23" t="n">
        <f aca="false">MIN(1,E50*Regions!E33)</f>
        <v>0.3</v>
      </c>
      <c r="J50" s="23" t="n">
        <f aca="false">MIN(1,E50*Regions!F33)</f>
        <v>0.3</v>
      </c>
      <c r="K50" s="23" t="n">
        <f aca="false">E50</f>
        <v>0.3</v>
      </c>
    </row>
    <row r="51" customFormat="false" ht="15" hidden="false" customHeight="false" outlineLevel="0" collapsed="false">
      <c r="A51" s="4" t="s">
        <v>294</v>
      </c>
      <c r="B51" s="4" t="s">
        <v>209</v>
      </c>
      <c r="C51" s="4" t="s">
        <v>247</v>
      </c>
      <c r="D51" s="7" t="n">
        <v>1</v>
      </c>
      <c r="E51" s="15" t="n">
        <v>0.35</v>
      </c>
      <c r="F51" s="4" t="n">
        <v>120</v>
      </c>
      <c r="G51" s="23" t="n">
        <f aca="false">MIN(1,E51*Regions!C35)</f>
        <v>0.35</v>
      </c>
      <c r="H51" s="23" t="n">
        <f aca="false">MIN(1,E51*Regions!D35)</f>
        <v>0.35</v>
      </c>
      <c r="I51" s="23" t="n">
        <f aca="false">MIN(1,E51*Regions!E35)</f>
        <v>0.35</v>
      </c>
      <c r="J51" s="23" t="n">
        <f aca="false">MIN(1,E51*Regions!F35)</f>
        <v>0.35</v>
      </c>
      <c r="K51" s="23" t="n">
        <f aca="false">E51</f>
        <v>0.35</v>
      </c>
    </row>
    <row r="52" customFormat="false" ht="15" hidden="false" customHeight="false" outlineLevel="0" collapsed="false">
      <c r="A52" s="4" t="s">
        <v>302</v>
      </c>
      <c r="B52" s="4" t="s">
        <v>209</v>
      </c>
      <c r="C52" s="4" t="s">
        <v>272</v>
      </c>
      <c r="D52" s="7" t="n">
        <v>1</v>
      </c>
      <c r="E52" s="15" t="n">
        <v>0.35</v>
      </c>
      <c r="F52" s="4" t="n">
        <v>120</v>
      </c>
      <c r="G52" s="23" t="n">
        <f aca="false">MIN(1,E52*Regions!C43)</f>
        <v>0.35</v>
      </c>
      <c r="H52" s="23" t="n">
        <f aca="false">MIN(1,E52*Regions!D43)</f>
        <v>0.35</v>
      </c>
      <c r="I52" s="23" t="n">
        <f aca="false">MIN(1,E52*Regions!E43)</f>
        <v>0.35</v>
      </c>
      <c r="J52" s="23" t="n">
        <f aca="false">MIN(1,E52*Regions!F43)</f>
        <v>0.35</v>
      </c>
      <c r="K52" s="23" t="n">
        <f aca="false">E52</f>
        <v>0.35</v>
      </c>
    </row>
    <row r="53" customFormat="false" ht="15" hidden="false" customHeight="false" outlineLevel="0" collapsed="false">
      <c r="A53" s="4" t="s">
        <v>306</v>
      </c>
      <c r="B53" s="4" t="s">
        <v>622</v>
      </c>
      <c r="C53" s="4" t="s">
        <v>623</v>
      </c>
      <c r="D53" s="7" t="n">
        <v>1</v>
      </c>
      <c r="E53" s="15" t="n">
        <v>1</v>
      </c>
      <c r="F53" s="4" t="s">
        <v>74</v>
      </c>
      <c r="G53" s="23" t="n">
        <f aca="false">E53</f>
        <v>1</v>
      </c>
      <c r="H53" s="23" t="n">
        <f aca="false">E53</f>
        <v>1</v>
      </c>
      <c r="I53" s="23" t="n">
        <f aca="false">E53</f>
        <v>1</v>
      </c>
      <c r="J53" s="23" t="n">
        <f aca="false">E53</f>
        <v>1</v>
      </c>
      <c r="K53" s="23" t="n">
        <f aca="false">E53</f>
        <v>1</v>
      </c>
    </row>
    <row r="54" customFormat="false" ht="15" hidden="false" customHeight="false" outlineLevel="0" collapsed="false">
      <c r="A54" s="4" t="s">
        <v>316</v>
      </c>
      <c r="B54" s="4" t="s">
        <v>622</v>
      </c>
      <c r="C54" s="4" t="s">
        <v>624</v>
      </c>
      <c r="D54" s="7" t="n">
        <v>1</v>
      </c>
      <c r="E54" s="15" t="n">
        <v>1</v>
      </c>
      <c r="F54" s="4" t="s">
        <v>74</v>
      </c>
      <c r="G54" s="23" t="n">
        <f aca="false">E54</f>
        <v>1</v>
      </c>
      <c r="H54" s="23" t="n">
        <f aca="false">E54</f>
        <v>1</v>
      </c>
      <c r="I54" s="23" t="n">
        <f aca="false">E54</f>
        <v>1</v>
      </c>
      <c r="J54" s="23" t="n">
        <f aca="false">E54</f>
        <v>1</v>
      </c>
      <c r="K54" s="23" t="n">
        <f aca="false">E54</f>
        <v>1</v>
      </c>
    </row>
    <row r="55" customFormat="false" ht="15" hidden="false" customHeight="false" outlineLevel="0" collapsed="false">
      <c r="A55" s="4" t="s">
        <v>326</v>
      </c>
      <c r="B55" s="4" t="s">
        <v>622</v>
      </c>
      <c r="C55" s="4" t="s">
        <v>625</v>
      </c>
      <c r="D55" s="7" t="n">
        <v>1</v>
      </c>
      <c r="E55" s="15" t="n">
        <v>1</v>
      </c>
      <c r="F55" s="4" t="s">
        <v>74</v>
      </c>
      <c r="G55" s="23" t="n">
        <f aca="false">E55</f>
        <v>1</v>
      </c>
      <c r="H55" s="23" t="n">
        <f aca="false">E55</f>
        <v>1</v>
      </c>
      <c r="I55" s="23" t="n">
        <f aca="false">E55</f>
        <v>1</v>
      </c>
      <c r="J55" s="23" t="n">
        <f aca="false">E55</f>
        <v>1</v>
      </c>
      <c r="K55" s="23" t="n">
        <f aca="false">E55</f>
        <v>1</v>
      </c>
    </row>
    <row r="56" customFormat="false" ht="15" hidden="false" customHeight="false" outlineLevel="0" collapsed="false">
      <c r="A56" s="4" t="s">
        <v>340</v>
      </c>
      <c r="B56" s="4" t="s">
        <v>622</v>
      </c>
      <c r="C56" s="4" t="s">
        <v>626</v>
      </c>
      <c r="D56" s="7" t="n">
        <v>1</v>
      </c>
      <c r="E56" s="15" t="n">
        <v>1</v>
      </c>
      <c r="F56" s="4" t="s">
        <v>74</v>
      </c>
      <c r="G56" s="23" t="n">
        <f aca="false">E56</f>
        <v>1</v>
      </c>
      <c r="H56" s="23" t="n">
        <f aca="false">E56</f>
        <v>1</v>
      </c>
      <c r="I56" s="23" t="n">
        <f aca="false">E56</f>
        <v>1</v>
      </c>
      <c r="J56" s="23" t="n">
        <f aca="false">E56</f>
        <v>1</v>
      </c>
      <c r="K56" s="23" t="n">
        <f aca="false">E56</f>
        <v>1</v>
      </c>
    </row>
    <row r="59" customFormat="false" ht="15" hidden="false" customHeight="false" outlineLevel="0" collapsed="false">
      <c r="A59" s="3" t="s">
        <v>627</v>
      </c>
    </row>
    <row r="60" customFormat="false" ht="15" hidden="false" customHeight="false" outlineLevel="0" collapsed="false">
      <c r="A60" s="2" t="s">
        <v>628</v>
      </c>
    </row>
    <row r="61" customFormat="false" ht="31.5" hidden="false" customHeight="true" outlineLevel="0" collapsed="false">
      <c r="A61" s="5" t="s">
        <v>594</v>
      </c>
      <c r="B61" s="5" t="s">
        <v>629</v>
      </c>
      <c r="C61" s="5" t="s">
        <v>596</v>
      </c>
      <c r="D61" s="5" t="s">
        <v>597</v>
      </c>
      <c r="E61" s="5" t="s">
        <v>526</v>
      </c>
      <c r="F61" s="5" t="s">
        <v>599</v>
      </c>
      <c r="G61" s="5" t="s">
        <v>630</v>
      </c>
      <c r="H61" s="5" t="s">
        <v>631</v>
      </c>
      <c r="I61" s="5" t="s">
        <v>632</v>
      </c>
    </row>
    <row r="62" customFormat="false" ht="15" hidden="false" customHeight="false" outlineLevel="0" collapsed="false">
      <c r="A62" s="2" t="s">
        <v>633</v>
      </c>
      <c r="B62" s="2" t="s">
        <v>634</v>
      </c>
      <c r="C62" s="2" t="s">
        <v>195</v>
      </c>
      <c r="D62" s="2" t="n">
        <v>1</v>
      </c>
      <c r="E62" s="24" t="n">
        <v>1</v>
      </c>
      <c r="F62" s="2" t="n">
        <v>120</v>
      </c>
      <c r="G62" s="2" t="n">
        <v>3</v>
      </c>
      <c r="H62" s="2" t="n">
        <v>1</v>
      </c>
      <c r="I62" s="2" t="s">
        <v>635</v>
      </c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636</v>
      </c>
    </row>
    <row r="2" customFormat="false" ht="15" hidden="false" customHeight="false" outlineLevel="0" collapsed="false">
      <c r="A2" s="2" t="s">
        <v>637</v>
      </c>
    </row>
    <row r="4" customFormat="false" ht="31.5" hidden="false" customHeight="true" outlineLevel="0" collapsed="false">
      <c r="A4" s="5" t="s">
        <v>83</v>
      </c>
      <c r="B4" s="5" t="s">
        <v>84</v>
      </c>
      <c r="C4" s="5" t="s">
        <v>629</v>
      </c>
      <c r="D4" s="5" t="s">
        <v>638</v>
      </c>
      <c r="E4" s="5" t="s">
        <v>639</v>
      </c>
      <c r="F4" s="5" t="s">
        <v>640</v>
      </c>
      <c r="G4" s="5" t="s">
        <v>641</v>
      </c>
      <c r="H4" s="5" t="s">
        <v>642</v>
      </c>
      <c r="I4" s="5" t="s">
        <v>94</v>
      </c>
      <c r="J4" s="5" t="s">
        <v>95</v>
      </c>
      <c r="K4" s="5" t="s">
        <v>643</v>
      </c>
      <c r="L4" s="5" t="s">
        <v>644</v>
      </c>
    </row>
    <row r="5" customFormat="false" ht="15" hidden="false" customHeight="false" outlineLevel="0" collapsed="false">
      <c r="A5" s="4" t="s">
        <v>645</v>
      </c>
      <c r="B5" s="4" t="s">
        <v>646</v>
      </c>
      <c r="C5" s="4" t="s">
        <v>647</v>
      </c>
      <c r="D5" s="4" t="s">
        <v>648</v>
      </c>
      <c r="E5" s="4" t="s">
        <v>649</v>
      </c>
      <c r="F5" s="4" t="s">
        <v>650</v>
      </c>
      <c r="G5" s="4" t="s">
        <v>651</v>
      </c>
      <c r="H5" s="4" t="s">
        <v>652</v>
      </c>
      <c r="I5" s="4" t="n">
        <v>120</v>
      </c>
      <c r="J5" s="4" t="n">
        <v>20</v>
      </c>
      <c r="K5" s="4" t="n">
        <v>1</v>
      </c>
      <c r="L5" s="7" t="n">
        <v>120</v>
      </c>
    </row>
    <row r="6" customFormat="false" ht="15" hidden="false" customHeight="false" outlineLevel="0" collapsed="false">
      <c r="A6" s="4" t="s">
        <v>653</v>
      </c>
      <c r="B6" s="4" t="s">
        <v>654</v>
      </c>
      <c r="C6" s="4" t="s">
        <v>647</v>
      </c>
      <c r="D6" s="4" t="s">
        <v>655</v>
      </c>
      <c r="E6" s="4" t="s">
        <v>656</v>
      </c>
      <c r="F6" s="4" t="s">
        <v>657</v>
      </c>
      <c r="G6" s="4" t="s">
        <v>651</v>
      </c>
      <c r="H6" s="4" t="s">
        <v>652</v>
      </c>
      <c r="I6" s="4" t="n">
        <v>150</v>
      </c>
      <c r="J6" s="4" t="n">
        <v>25</v>
      </c>
      <c r="K6" s="4" t="n">
        <v>6</v>
      </c>
      <c r="L6" s="7" t="n">
        <v>200</v>
      </c>
    </row>
    <row r="7" customFormat="false" ht="15" hidden="false" customHeight="false" outlineLevel="0" collapsed="false">
      <c r="A7" s="4" t="s">
        <v>658</v>
      </c>
      <c r="B7" s="4" t="s">
        <v>659</v>
      </c>
      <c r="C7" s="4" t="s">
        <v>660</v>
      </c>
      <c r="D7" s="4" t="s">
        <v>655</v>
      </c>
      <c r="E7" s="4" t="s">
        <v>661</v>
      </c>
      <c r="F7" s="4" t="s">
        <v>662</v>
      </c>
      <c r="G7" s="4" t="s">
        <v>663</v>
      </c>
      <c r="H7" s="4" t="s">
        <v>664</v>
      </c>
      <c r="I7" s="4" t="n">
        <v>30</v>
      </c>
      <c r="J7" s="4" t="n">
        <v>5</v>
      </c>
      <c r="K7" s="4" t="n">
        <v>1</v>
      </c>
      <c r="L7" s="2" t="s">
        <v>74</v>
      </c>
    </row>
    <row r="8" customFormat="false" ht="15" hidden="false" customHeight="false" outlineLevel="0" collapsed="false">
      <c r="A8" s="4" t="s">
        <v>665</v>
      </c>
      <c r="B8" s="4" t="s">
        <v>666</v>
      </c>
      <c r="C8" s="4" t="s">
        <v>386</v>
      </c>
      <c r="D8" s="4" t="s">
        <v>667</v>
      </c>
      <c r="E8" s="4" t="s">
        <v>668</v>
      </c>
      <c r="F8" s="4" t="s">
        <v>669</v>
      </c>
      <c r="G8" s="4" t="s">
        <v>670</v>
      </c>
      <c r="H8" s="4" t="s">
        <v>652</v>
      </c>
      <c r="I8" s="4" t="n">
        <v>15</v>
      </c>
      <c r="J8" s="4" t="n">
        <v>4</v>
      </c>
      <c r="K8" s="4" t="n">
        <v>1</v>
      </c>
      <c r="L8" s="2" t="s">
        <v>74</v>
      </c>
    </row>
    <row r="9" customFormat="false" ht="15" hidden="false" customHeight="false" outlineLevel="0" collapsed="false">
      <c r="A9" s="4" t="s">
        <v>671</v>
      </c>
      <c r="B9" s="4" t="s">
        <v>672</v>
      </c>
      <c r="C9" s="4" t="s">
        <v>660</v>
      </c>
      <c r="D9" s="4" t="s">
        <v>655</v>
      </c>
      <c r="E9" s="4" t="s">
        <v>673</v>
      </c>
      <c r="F9" s="4" t="s">
        <v>674</v>
      </c>
      <c r="G9" s="4" t="s">
        <v>675</v>
      </c>
      <c r="H9" s="4" t="s">
        <v>676</v>
      </c>
      <c r="I9" s="4" t="n">
        <v>40</v>
      </c>
      <c r="J9" s="4" t="n">
        <v>6</v>
      </c>
      <c r="K9" s="4" t="n">
        <v>2</v>
      </c>
      <c r="L9" s="2" t="s">
        <v>74</v>
      </c>
    </row>
    <row r="10" customFormat="false" ht="15" hidden="false" customHeight="false" outlineLevel="0" collapsed="false">
      <c r="A10" s="4" t="s">
        <v>560</v>
      </c>
      <c r="B10" s="4" t="s">
        <v>677</v>
      </c>
      <c r="C10" s="4" t="s">
        <v>660</v>
      </c>
      <c r="D10" s="4" t="s">
        <v>655</v>
      </c>
      <c r="E10" s="4" t="s">
        <v>678</v>
      </c>
      <c r="F10" s="4" t="s">
        <v>679</v>
      </c>
      <c r="G10" s="4" t="s">
        <v>680</v>
      </c>
      <c r="H10" s="4" t="s">
        <v>681</v>
      </c>
      <c r="I10" s="4" t="n">
        <v>30</v>
      </c>
      <c r="J10" s="4" t="n">
        <v>6</v>
      </c>
      <c r="K10" s="4" t="n">
        <v>3</v>
      </c>
      <c r="L10" s="2" t="s">
        <v>74</v>
      </c>
    </row>
    <row r="11" customFormat="false" ht="15" hidden="false" customHeight="false" outlineLevel="0" collapsed="false">
      <c r="A11" s="4" t="s">
        <v>682</v>
      </c>
      <c r="B11" s="4" t="s">
        <v>683</v>
      </c>
      <c r="C11" s="4" t="s">
        <v>660</v>
      </c>
      <c r="D11" s="4" t="s">
        <v>655</v>
      </c>
      <c r="E11" s="4" t="s">
        <v>684</v>
      </c>
      <c r="F11" s="4" t="s">
        <v>685</v>
      </c>
      <c r="G11" s="4" t="s">
        <v>686</v>
      </c>
      <c r="H11" s="4" t="s">
        <v>676</v>
      </c>
      <c r="I11" s="4" t="n">
        <v>45</v>
      </c>
      <c r="J11" s="4" t="n">
        <v>7</v>
      </c>
      <c r="K11" s="4" t="n">
        <v>3</v>
      </c>
      <c r="L11" s="2" t="s">
        <v>74</v>
      </c>
    </row>
    <row r="12" customFormat="false" ht="15" hidden="false" customHeight="false" outlineLevel="0" collapsed="false">
      <c r="A12" s="4" t="s">
        <v>687</v>
      </c>
      <c r="B12" s="4" t="s">
        <v>688</v>
      </c>
      <c r="C12" s="4" t="s">
        <v>660</v>
      </c>
      <c r="D12" s="4" t="s">
        <v>655</v>
      </c>
      <c r="E12" s="4" t="s">
        <v>689</v>
      </c>
      <c r="F12" s="4" t="s">
        <v>690</v>
      </c>
      <c r="G12" s="4" t="s">
        <v>691</v>
      </c>
      <c r="H12" s="4" t="s">
        <v>676</v>
      </c>
      <c r="I12" s="4" t="n">
        <v>45</v>
      </c>
      <c r="J12" s="4" t="n">
        <v>7</v>
      </c>
      <c r="K12" s="4" t="n">
        <v>4</v>
      </c>
      <c r="L12" s="2" t="s">
        <v>74</v>
      </c>
    </row>
    <row r="13" customFormat="false" ht="15" hidden="false" customHeight="false" outlineLevel="0" collapsed="false">
      <c r="A13" s="4" t="s">
        <v>692</v>
      </c>
      <c r="B13" s="4" t="s">
        <v>693</v>
      </c>
      <c r="C13" s="4" t="s">
        <v>660</v>
      </c>
      <c r="D13" s="4" t="s">
        <v>655</v>
      </c>
      <c r="E13" s="4" t="s">
        <v>694</v>
      </c>
      <c r="F13" s="4" t="s">
        <v>695</v>
      </c>
      <c r="G13" s="4" t="s">
        <v>696</v>
      </c>
      <c r="H13" s="4" t="s">
        <v>664</v>
      </c>
      <c r="I13" s="4" t="n">
        <v>30</v>
      </c>
      <c r="J13" s="4" t="n">
        <v>6</v>
      </c>
      <c r="K13" s="4" t="n">
        <v>4</v>
      </c>
      <c r="L13" s="2" t="s">
        <v>74</v>
      </c>
    </row>
    <row r="14" customFormat="false" ht="15" hidden="false" customHeight="false" outlineLevel="0" collapsed="false">
      <c r="A14" s="4" t="s">
        <v>697</v>
      </c>
      <c r="B14" s="4" t="s">
        <v>698</v>
      </c>
      <c r="C14" s="4" t="s">
        <v>660</v>
      </c>
      <c r="D14" s="4" t="s">
        <v>655</v>
      </c>
      <c r="E14" s="4" t="s">
        <v>699</v>
      </c>
      <c r="F14" s="4" t="s">
        <v>700</v>
      </c>
      <c r="G14" s="4" t="s">
        <v>651</v>
      </c>
      <c r="H14" s="4" t="s">
        <v>676</v>
      </c>
      <c r="I14" s="4" t="n">
        <v>25</v>
      </c>
      <c r="J14" s="4" t="n">
        <v>5</v>
      </c>
      <c r="K14" s="4" t="n">
        <v>5</v>
      </c>
      <c r="L14" s="2" t="s">
        <v>74</v>
      </c>
    </row>
    <row r="16" customFormat="false" ht="15" hidden="false" customHeight="false" outlineLevel="0" collapsed="false">
      <c r="A16" s="3" t="s">
        <v>701</v>
      </c>
    </row>
    <row r="17" customFormat="false" ht="31.5" hidden="false" customHeight="true" outlineLevel="0" collapsed="false">
      <c r="A17" s="5" t="s">
        <v>652</v>
      </c>
      <c r="B17" s="5" t="s">
        <v>702</v>
      </c>
      <c r="C17" s="5" t="s">
        <v>644</v>
      </c>
      <c r="D17" s="5" t="s">
        <v>703</v>
      </c>
    </row>
    <row r="18" customFormat="false" ht="15" hidden="false" customHeight="false" outlineLevel="0" collapsed="false">
      <c r="A18" s="4" t="s">
        <v>650</v>
      </c>
      <c r="B18" s="4" t="s">
        <v>704</v>
      </c>
      <c r="C18" s="7" t="n">
        <v>120</v>
      </c>
      <c r="D18" s="4" t="s">
        <v>705</v>
      </c>
    </row>
    <row r="19" customFormat="false" ht="15" hidden="false" customHeight="false" outlineLevel="0" collapsed="false">
      <c r="A19" s="4" t="s">
        <v>657</v>
      </c>
      <c r="B19" s="4" t="s">
        <v>706</v>
      </c>
      <c r="C19" s="7" t="n">
        <v>200</v>
      </c>
      <c r="D19" s="4" t="s">
        <v>707</v>
      </c>
    </row>
    <row r="21" customFormat="false" ht="15" hidden="false" customHeight="false" outlineLevel="0" collapsed="false">
      <c r="A21" s="2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709</v>
      </c>
    </row>
    <row r="4" customFormat="false" ht="15" hidden="false" customHeight="false" outlineLevel="0" collapsed="false">
      <c r="A4" s="3" t="s">
        <v>710</v>
      </c>
      <c r="B4" s="7" t="n">
        <v>10</v>
      </c>
    </row>
    <row r="5" customFormat="false" ht="15" hidden="false" customHeight="false" outlineLevel="0" collapsed="false">
      <c r="A5" s="3" t="s">
        <v>711</v>
      </c>
      <c r="B5" s="7" t="n">
        <v>1</v>
      </c>
    </row>
    <row r="6" customFormat="false" ht="15" hidden="false" customHeight="false" outlineLevel="0" collapsed="false">
      <c r="A6" s="3" t="s">
        <v>712</v>
      </c>
      <c r="B6" s="7" t="n">
        <v>60</v>
      </c>
    </row>
    <row r="8" customFormat="false" ht="31.5" hidden="false" customHeight="true" outlineLevel="0" collapsed="false">
      <c r="A8" s="5" t="s">
        <v>713</v>
      </c>
      <c r="B8" s="5" t="s">
        <v>714</v>
      </c>
      <c r="C8" s="5" t="s">
        <v>715</v>
      </c>
      <c r="D8" s="5" t="s">
        <v>716</v>
      </c>
      <c r="E8" s="5" t="s">
        <v>717</v>
      </c>
    </row>
    <row r="9" customFormat="false" ht="15" hidden="false" customHeight="false" outlineLevel="0" collapsed="false">
      <c r="A9" s="2" t="s">
        <v>718</v>
      </c>
      <c r="B9" s="25" t="n">
        <v>1</v>
      </c>
      <c r="C9" s="25" t="n">
        <v>1.25</v>
      </c>
      <c r="D9" s="25" t="n">
        <v>1.5</v>
      </c>
      <c r="E9" s="25" t="n">
        <v>2</v>
      </c>
    </row>
    <row r="10" customFormat="false" ht="15" hidden="false" customHeight="false" outlineLevel="0" collapsed="false">
      <c r="A10" s="4" t="n">
        <v>0</v>
      </c>
      <c r="B10" s="23" t="n">
        <f aca="false">1+MIN($B$6,INT(MAX(0,$A10-$B$4)*$B$5/B$9))/100</f>
        <v>1</v>
      </c>
      <c r="C10" s="23" t="n">
        <f aca="false">1+MIN($B$6,INT(MAX(0,$A10-$B$4)*$B$5/C$9))/100</f>
        <v>1</v>
      </c>
      <c r="D10" s="23" t="n">
        <f aca="false">1+MIN($B$6,INT(MAX(0,$A10-$B$4)*$B$5/D$9))/100</f>
        <v>1</v>
      </c>
      <c r="E10" s="23" t="n">
        <f aca="false">1+MIN($B$6,INT(MAX(0,$A10-$B$4)*$B$5/E$9))/100</f>
        <v>1</v>
      </c>
    </row>
    <row r="11" customFormat="false" ht="15" hidden="false" customHeight="false" outlineLevel="0" collapsed="false">
      <c r="A11" s="4" t="n">
        <v>10</v>
      </c>
      <c r="B11" s="23" t="n">
        <f aca="false">1+MIN($B$6,INT(MAX(0,$A11-$B$4)*$B$5/B$9))/100</f>
        <v>1</v>
      </c>
      <c r="C11" s="23" t="n">
        <f aca="false">1+MIN($B$6,INT(MAX(0,$A11-$B$4)*$B$5/C$9))/100</f>
        <v>1</v>
      </c>
      <c r="D11" s="23" t="n">
        <f aca="false">1+MIN($B$6,INT(MAX(0,$A11-$B$4)*$B$5/D$9))/100</f>
        <v>1</v>
      </c>
      <c r="E11" s="23" t="n">
        <f aca="false">1+MIN($B$6,INT(MAX(0,$A11-$B$4)*$B$5/E$9))/100</f>
        <v>1</v>
      </c>
    </row>
    <row r="12" customFormat="false" ht="15" hidden="false" customHeight="false" outlineLevel="0" collapsed="false">
      <c r="A12" s="4" t="n">
        <v>20</v>
      </c>
      <c r="B12" s="23" t="n">
        <f aca="false">1+MIN($B$6,INT(MAX(0,$A12-$B$4)*$B$5/B$9))/100</f>
        <v>1.1</v>
      </c>
      <c r="C12" s="23" t="n">
        <f aca="false">1+MIN($B$6,INT(MAX(0,$A12-$B$4)*$B$5/C$9))/100</f>
        <v>1.08</v>
      </c>
      <c r="D12" s="23" t="n">
        <f aca="false">1+MIN($B$6,INT(MAX(0,$A12-$B$4)*$B$5/D$9))/100</f>
        <v>1.06</v>
      </c>
      <c r="E12" s="23" t="n">
        <f aca="false">1+MIN($B$6,INT(MAX(0,$A12-$B$4)*$B$5/E$9))/100</f>
        <v>1.05</v>
      </c>
    </row>
    <row r="13" customFormat="false" ht="15" hidden="false" customHeight="false" outlineLevel="0" collapsed="false">
      <c r="A13" s="4" t="n">
        <v>30</v>
      </c>
      <c r="B13" s="23" t="n">
        <f aca="false">1+MIN($B$6,INT(MAX(0,$A13-$B$4)*$B$5/B$9))/100</f>
        <v>1.2</v>
      </c>
      <c r="C13" s="23" t="n">
        <f aca="false">1+MIN($B$6,INT(MAX(0,$A13-$B$4)*$B$5/C$9))/100</f>
        <v>1.16</v>
      </c>
      <c r="D13" s="23" t="n">
        <f aca="false">1+MIN($B$6,INT(MAX(0,$A13-$B$4)*$B$5/D$9))/100</f>
        <v>1.13</v>
      </c>
      <c r="E13" s="23" t="n">
        <f aca="false">1+MIN($B$6,INT(MAX(0,$A13-$B$4)*$B$5/E$9))/100</f>
        <v>1.1</v>
      </c>
    </row>
    <row r="14" customFormat="false" ht="15" hidden="false" customHeight="false" outlineLevel="0" collapsed="false">
      <c r="A14" s="4" t="n">
        <v>40</v>
      </c>
      <c r="B14" s="23" t="n">
        <f aca="false">1+MIN($B$6,INT(MAX(0,$A14-$B$4)*$B$5/B$9))/100</f>
        <v>1.3</v>
      </c>
      <c r="C14" s="23" t="n">
        <f aca="false">1+MIN($B$6,INT(MAX(0,$A14-$B$4)*$B$5/C$9))/100</f>
        <v>1.24</v>
      </c>
      <c r="D14" s="23" t="n">
        <f aca="false">1+MIN($B$6,INT(MAX(0,$A14-$B$4)*$B$5/D$9))/100</f>
        <v>1.2</v>
      </c>
      <c r="E14" s="23" t="n">
        <f aca="false">1+MIN($B$6,INT(MAX(0,$A14-$B$4)*$B$5/E$9))/100</f>
        <v>1.15</v>
      </c>
    </row>
    <row r="15" customFormat="false" ht="15" hidden="false" customHeight="false" outlineLevel="0" collapsed="false">
      <c r="A15" s="4" t="n">
        <v>50</v>
      </c>
      <c r="B15" s="23" t="n">
        <f aca="false">1+MIN($B$6,INT(MAX(0,$A15-$B$4)*$B$5/B$9))/100</f>
        <v>1.4</v>
      </c>
      <c r="C15" s="23" t="n">
        <f aca="false">1+MIN($B$6,INT(MAX(0,$A15-$B$4)*$B$5/C$9))/100</f>
        <v>1.32</v>
      </c>
      <c r="D15" s="23" t="n">
        <f aca="false">1+MIN($B$6,INT(MAX(0,$A15-$B$4)*$B$5/D$9))/100</f>
        <v>1.26</v>
      </c>
      <c r="E15" s="23" t="n">
        <f aca="false">1+MIN($B$6,INT(MAX(0,$A15-$B$4)*$B$5/E$9))/100</f>
        <v>1.2</v>
      </c>
    </row>
    <row r="16" customFormat="false" ht="15" hidden="false" customHeight="false" outlineLevel="0" collapsed="false">
      <c r="A16" s="4" t="n">
        <v>60</v>
      </c>
      <c r="B16" s="23" t="n">
        <f aca="false">1+MIN($B$6,INT(MAX(0,$A16-$B$4)*$B$5/B$9))/100</f>
        <v>1.5</v>
      </c>
      <c r="C16" s="23" t="n">
        <f aca="false">1+MIN($B$6,INT(MAX(0,$A16-$B$4)*$B$5/C$9))/100</f>
        <v>1.4</v>
      </c>
      <c r="D16" s="23" t="n">
        <f aca="false">1+MIN($B$6,INT(MAX(0,$A16-$B$4)*$B$5/D$9))/100</f>
        <v>1.33</v>
      </c>
      <c r="E16" s="23" t="n">
        <f aca="false">1+MIN($B$6,INT(MAX(0,$A16-$B$4)*$B$5/E$9))/100</f>
        <v>1.25</v>
      </c>
    </row>
    <row r="17" customFormat="false" ht="15" hidden="false" customHeight="false" outlineLevel="0" collapsed="false">
      <c r="A17" s="4" t="n">
        <v>70</v>
      </c>
      <c r="B17" s="23" t="n">
        <f aca="false">1+MIN($B$6,INT(MAX(0,$A17-$B$4)*$B$5/B$9))/100</f>
        <v>1.6</v>
      </c>
      <c r="C17" s="23" t="n">
        <f aca="false">1+MIN($B$6,INT(MAX(0,$A17-$B$4)*$B$5/C$9))/100</f>
        <v>1.48</v>
      </c>
      <c r="D17" s="23" t="n">
        <f aca="false">1+MIN($B$6,INT(MAX(0,$A17-$B$4)*$B$5/D$9))/100</f>
        <v>1.4</v>
      </c>
      <c r="E17" s="23" t="n">
        <f aca="false">1+MIN($B$6,INT(MAX(0,$A17-$B$4)*$B$5/E$9))/100</f>
        <v>1.3</v>
      </c>
    </row>
    <row r="18" customFormat="false" ht="15" hidden="false" customHeight="false" outlineLevel="0" collapsed="false">
      <c r="A18" s="4" t="n">
        <v>80</v>
      </c>
      <c r="B18" s="23" t="n">
        <f aca="false">1+MIN($B$6,INT(MAX(0,$A18-$B$4)*$B$5/B$9))/100</f>
        <v>1.6</v>
      </c>
      <c r="C18" s="23" t="n">
        <f aca="false">1+MIN($B$6,INT(MAX(0,$A18-$B$4)*$B$5/C$9))/100</f>
        <v>1.56</v>
      </c>
      <c r="D18" s="23" t="n">
        <f aca="false">1+MIN($B$6,INT(MAX(0,$A18-$B$4)*$B$5/D$9))/100</f>
        <v>1.46</v>
      </c>
      <c r="E18" s="23" t="n">
        <f aca="false">1+MIN($B$6,INT(MAX(0,$A18-$B$4)*$B$5/E$9))/100</f>
        <v>1.35</v>
      </c>
    </row>
    <row r="19" customFormat="false" ht="15" hidden="false" customHeight="false" outlineLevel="0" collapsed="false">
      <c r="A19" s="4" t="n">
        <v>90</v>
      </c>
      <c r="B19" s="23" t="n">
        <f aca="false">1+MIN($B$6,INT(MAX(0,$A19-$B$4)*$B$5/B$9))/100</f>
        <v>1.6</v>
      </c>
      <c r="C19" s="23" t="n">
        <f aca="false">1+MIN($B$6,INT(MAX(0,$A19-$B$4)*$B$5/C$9))/100</f>
        <v>1.6</v>
      </c>
      <c r="D19" s="23" t="n">
        <f aca="false">1+MIN($B$6,INT(MAX(0,$A19-$B$4)*$B$5/D$9))/100</f>
        <v>1.53</v>
      </c>
      <c r="E19" s="23" t="n">
        <f aca="false">1+MIN($B$6,INT(MAX(0,$A19-$B$4)*$B$5/E$9))/100</f>
        <v>1.4</v>
      </c>
    </row>
    <row r="20" customFormat="false" ht="15" hidden="false" customHeight="false" outlineLevel="0" collapsed="false">
      <c r="A20" s="4" t="n">
        <v>100</v>
      </c>
      <c r="B20" s="23" t="n">
        <f aca="false">1+MIN($B$6,INT(MAX(0,$A20-$B$4)*$B$5/B$9))/100</f>
        <v>1.6</v>
      </c>
      <c r="C20" s="23" t="n">
        <f aca="false">1+MIN($B$6,INT(MAX(0,$A20-$B$4)*$B$5/C$9))/100</f>
        <v>1.6</v>
      </c>
      <c r="D20" s="23" t="n">
        <f aca="false">1+MIN($B$6,INT(MAX(0,$A20-$B$4)*$B$5/D$9))/100</f>
        <v>1.6</v>
      </c>
      <c r="E20" s="23" t="n">
        <f aca="false">1+MIN($B$6,INT(MAX(0,$A20-$B$4)*$B$5/E$9))/100</f>
        <v>1.45</v>
      </c>
    </row>
    <row r="22" customFormat="false" ht="15" hidden="false" customHeight="false" outlineLevel="0" collapsed="false">
      <c r="A22" s="2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12" min="4" style="0" width="9"/>
  </cols>
  <sheetData>
    <row r="1" customFormat="false" ht="17.35" hidden="false" customHeight="false" outlineLevel="0" collapsed="false">
      <c r="A1" s="1" t="s">
        <v>720</v>
      </c>
    </row>
    <row r="2" customFormat="false" ht="15" hidden="false" customHeight="false" outlineLevel="0" collapsed="false">
      <c r="A2" s="2" t="s">
        <v>721</v>
      </c>
    </row>
    <row r="4" customFormat="false" ht="15" hidden="false" customHeight="false" outlineLevel="0" collapsed="false">
      <c r="A4" s="3" t="s">
        <v>722</v>
      </c>
      <c r="B4" s="6" t="n">
        <v>0.25</v>
      </c>
    </row>
    <row r="6" customFormat="false" ht="31.5" hidden="false" customHeight="true" outlineLevel="0" collapsed="false">
      <c r="A6" s="5" t="s">
        <v>629</v>
      </c>
      <c r="B6" s="5" t="s">
        <v>723</v>
      </c>
      <c r="C6" s="5" t="s">
        <v>724</v>
      </c>
      <c r="D6" s="5" t="s">
        <v>725</v>
      </c>
      <c r="E6" s="5" t="s">
        <v>726</v>
      </c>
      <c r="F6" s="5" t="s">
        <v>727</v>
      </c>
      <c r="G6" s="5" t="s">
        <v>728</v>
      </c>
      <c r="H6" s="5" t="s">
        <v>729</v>
      </c>
      <c r="I6" s="5" t="s">
        <v>730</v>
      </c>
      <c r="J6" s="5" t="s">
        <v>731</v>
      </c>
      <c r="K6" s="5" t="s">
        <v>732</v>
      </c>
      <c r="L6" s="5" t="s">
        <v>733</v>
      </c>
    </row>
    <row r="7" customFormat="false" ht="15" hidden="false" customHeight="false" outlineLevel="0" collapsed="false">
      <c r="A7" s="4" t="s">
        <v>119</v>
      </c>
      <c r="B7" s="6" t="n">
        <v>0.2</v>
      </c>
      <c r="C7" s="4" t="s">
        <v>734</v>
      </c>
      <c r="D7" s="23" t="n">
        <f aca="false">MAX($B$4,1-$B7*0)</f>
        <v>1</v>
      </c>
      <c r="E7" s="23" t="n">
        <f aca="false">MAX($B$4,1-$B7*1)</f>
        <v>0.8</v>
      </c>
      <c r="F7" s="23" t="n">
        <f aca="false">MAX($B$4,1-$B7*2)</f>
        <v>0.6</v>
      </c>
      <c r="G7" s="23" t="n">
        <f aca="false">MAX($B$4,1-$B7*3)</f>
        <v>0.4</v>
      </c>
      <c r="H7" s="23" t="n">
        <f aca="false">MAX($B$4,1-$B7*4)</f>
        <v>0.25</v>
      </c>
      <c r="I7" s="23" t="n">
        <f aca="false">MAX($B$4,1-$B7*5)</f>
        <v>0.25</v>
      </c>
      <c r="J7" s="23" t="n">
        <f aca="false">MAX($B$4,1-$B7*6)</f>
        <v>0.25</v>
      </c>
      <c r="K7" s="23" t="n">
        <f aca="false">MAX($B$4,1-$B7*7)</f>
        <v>0.25</v>
      </c>
      <c r="L7" s="23" t="n">
        <f aca="false">MAX($B$4,1-$B7*8)</f>
        <v>0.25</v>
      </c>
    </row>
    <row r="8" customFormat="false" ht="15" hidden="false" customHeight="false" outlineLevel="0" collapsed="false">
      <c r="A8" s="4" t="s">
        <v>111</v>
      </c>
      <c r="B8" s="6" t="n">
        <v>0.08</v>
      </c>
      <c r="C8" s="4" t="s">
        <v>103</v>
      </c>
      <c r="D8" s="23" t="n">
        <f aca="false">MAX($B$4,1-$B8*0)</f>
        <v>1</v>
      </c>
      <c r="E8" s="23" t="n">
        <f aca="false">MAX($B$4,1-$B8*1)</f>
        <v>0.92</v>
      </c>
      <c r="F8" s="23" t="n">
        <f aca="false">MAX($B$4,1-$B8*2)</f>
        <v>0.84</v>
      </c>
      <c r="G8" s="23" t="n">
        <f aca="false">MAX($B$4,1-$B8*3)</f>
        <v>0.76</v>
      </c>
      <c r="H8" s="23" t="n">
        <f aca="false">MAX($B$4,1-$B8*4)</f>
        <v>0.68</v>
      </c>
      <c r="I8" s="23" t="n">
        <f aca="false">MAX($B$4,1-$B8*5)</f>
        <v>0.6</v>
      </c>
      <c r="J8" s="23" t="n">
        <f aca="false">MAX($B$4,1-$B8*6)</f>
        <v>0.52</v>
      </c>
      <c r="K8" s="23" t="n">
        <f aca="false">MAX($B$4,1-$B8*7)</f>
        <v>0.44</v>
      </c>
      <c r="L8" s="23" t="n">
        <f aca="false">MAX($B$4,1-$B8*8)</f>
        <v>0.36</v>
      </c>
    </row>
    <row r="9" customFormat="false" ht="15" hidden="false" customHeight="false" outlineLevel="0" collapsed="false">
      <c r="A9" s="4" t="s">
        <v>126</v>
      </c>
      <c r="B9" s="6" t="n">
        <v>0.15</v>
      </c>
      <c r="C9" s="4" t="s">
        <v>121</v>
      </c>
      <c r="D9" s="23" t="n">
        <f aca="false">MAX($B$4,1-$B9*0)</f>
        <v>1</v>
      </c>
      <c r="E9" s="23" t="n">
        <f aca="false">MAX($B$4,1-$B9*1)</f>
        <v>0.85</v>
      </c>
      <c r="F9" s="23" t="n">
        <f aca="false">MAX($B$4,1-$B9*2)</f>
        <v>0.7</v>
      </c>
      <c r="G9" s="23" t="n">
        <f aca="false">MAX($B$4,1-$B9*3)</f>
        <v>0.55</v>
      </c>
      <c r="H9" s="23" t="n">
        <f aca="false">MAX($B$4,1-$B9*4)</f>
        <v>0.4</v>
      </c>
      <c r="I9" s="23" t="n">
        <f aca="false">MAX($B$4,1-$B9*5)</f>
        <v>0.25</v>
      </c>
      <c r="J9" s="23" t="n">
        <f aca="false">MAX($B$4,1-$B9*6)</f>
        <v>0.25</v>
      </c>
      <c r="K9" s="23" t="n">
        <f aca="false">MAX($B$4,1-$B9*7)</f>
        <v>0.25</v>
      </c>
      <c r="L9" s="23" t="n">
        <f aca="false">MAX($B$4,1-$B9*8)</f>
        <v>0.25</v>
      </c>
    </row>
    <row r="10" customFormat="false" ht="15" hidden="false" customHeight="false" outlineLevel="0" collapsed="false">
      <c r="A10" s="4" t="s">
        <v>179</v>
      </c>
      <c r="B10" s="6" t="n">
        <v>0.1</v>
      </c>
      <c r="C10" s="4" t="s">
        <v>174</v>
      </c>
      <c r="D10" s="23" t="n">
        <f aca="false">MAX($B$4,1-$B10*0)</f>
        <v>1</v>
      </c>
      <c r="E10" s="23" t="n">
        <f aca="false">MAX($B$4,1-$B10*1)</f>
        <v>0.9</v>
      </c>
      <c r="F10" s="23" t="n">
        <f aca="false">MAX($B$4,1-$B10*2)</f>
        <v>0.8</v>
      </c>
      <c r="G10" s="23" t="n">
        <f aca="false">MAX($B$4,1-$B10*3)</f>
        <v>0.7</v>
      </c>
      <c r="H10" s="23" t="n">
        <f aca="false">MAX($B$4,1-$B10*4)</f>
        <v>0.6</v>
      </c>
      <c r="I10" s="23" t="n">
        <f aca="false">MAX($B$4,1-$B10*5)</f>
        <v>0.5</v>
      </c>
      <c r="J10" s="23" t="n">
        <f aca="false">MAX($B$4,1-$B10*6)</f>
        <v>0.4</v>
      </c>
      <c r="K10" s="23" t="n">
        <f aca="false">MAX($B$4,1-$B10*7)</f>
        <v>0.3</v>
      </c>
      <c r="L10" s="23" t="n">
        <f aca="false">MAX($B$4,1-$B10*8)</f>
        <v>0.25</v>
      </c>
    </row>
    <row r="11" customFormat="false" ht="15" hidden="false" customHeight="false" outlineLevel="0" collapsed="false">
      <c r="A11" s="4" t="s">
        <v>169</v>
      </c>
      <c r="B11" s="6" t="n">
        <v>0.1</v>
      </c>
      <c r="C11" s="4" t="s">
        <v>163</v>
      </c>
      <c r="D11" s="23" t="n">
        <f aca="false">MAX($B$4,1-$B11*0)</f>
        <v>1</v>
      </c>
      <c r="E11" s="23" t="n">
        <f aca="false">MAX($B$4,1-$B11*1)</f>
        <v>0.9</v>
      </c>
      <c r="F11" s="23" t="n">
        <f aca="false">MAX($B$4,1-$B11*2)</f>
        <v>0.8</v>
      </c>
      <c r="G11" s="23" t="n">
        <f aca="false">MAX($B$4,1-$B11*3)</f>
        <v>0.7</v>
      </c>
      <c r="H11" s="23" t="n">
        <f aca="false">MAX($B$4,1-$B11*4)</f>
        <v>0.6</v>
      </c>
      <c r="I11" s="23" t="n">
        <f aca="false">MAX($B$4,1-$B11*5)</f>
        <v>0.5</v>
      </c>
      <c r="J11" s="23" t="n">
        <f aca="false">MAX($B$4,1-$B11*6)</f>
        <v>0.4</v>
      </c>
      <c r="K11" s="23" t="n">
        <f aca="false">MAX($B$4,1-$B11*7)</f>
        <v>0.3</v>
      </c>
      <c r="L11" s="23" t="n">
        <f aca="false">MAX($B$4,1-$B11*8)</f>
        <v>0.25</v>
      </c>
    </row>
    <row r="12" customFormat="false" ht="15" hidden="false" customHeight="false" outlineLevel="0" collapsed="false">
      <c r="A12" s="4" t="s">
        <v>142</v>
      </c>
      <c r="B12" s="6" t="n">
        <v>0.12</v>
      </c>
      <c r="C12" s="4" t="s">
        <v>137</v>
      </c>
      <c r="D12" s="23" t="n">
        <f aca="false">MAX($B$4,1-$B12*0)</f>
        <v>1</v>
      </c>
      <c r="E12" s="23" t="n">
        <f aca="false">MAX($B$4,1-$B12*1)</f>
        <v>0.88</v>
      </c>
      <c r="F12" s="23" t="n">
        <f aca="false">MAX($B$4,1-$B12*2)</f>
        <v>0.76</v>
      </c>
      <c r="G12" s="23" t="n">
        <f aca="false">MAX($B$4,1-$B12*3)</f>
        <v>0.64</v>
      </c>
      <c r="H12" s="23" t="n">
        <f aca="false">MAX($B$4,1-$B12*4)</f>
        <v>0.52</v>
      </c>
      <c r="I12" s="23" t="n">
        <f aca="false">MAX($B$4,1-$B12*5)</f>
        <v>0.4</v>
      </c>
      <c r="J12" s="23" t="n">
        <f aca="false">MAX($B$4,1-$B12*6)</f>
        <v>0.28</v>
      </c>
      <c r="K12" s="23" t="n">
        <f aca="false">MAX($B$4,1-$B12*7)</f>
        <v>0.25</v>
      </c>
      <c r="L12" s="23" t="n">
        <f aca="false">MAX($B$4,1-$B12*8)</f>
        <v>0.25</v>
      </c>
    </row>
    <row r="14" customFormat="false" ht="15" hidden="false" customHeight="false" outlineLevel="0" collapsed="false">
      <c r="A14" s="2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736</v>
      </c>
    </row>
    <row r="4" customFormat="false" ht="31.5" hidden="false" customHeight="true" outlineLevel="0" collapsed="false">
      <c r="A4" s="5" t="s">
        <v>83</v>
      </c>
      <c r="B4" s="5" t="s">
        <v>84</v>
      </c>
      <c r="C4" s="5" t="s">
        <v>576</v>
      </c>
      <c r="D4" s="5" t="s">
        <v>737</v>
      </c>
      <c r="E4" s="5" t="s">
        <v>45</v>
      </c>
      <c r="F4" s="5" t="s">
        <v>738</v>
      </c>
      <c r="G4" s="5" t="s">
        <v>739</v>
      </c>
      <c r="H4" s="5" t="s">
        <v>41</v>
      </c>
      <c r="I4" s="5" t="s">
        <v>740</v>
      </c>
    </row>
    <row r="5" customFormat="false" ht="15" hidden="false" customHeight="false" outlineLevel="0" collapsed="false">
      <c r="A5" s="4" t="s">
        <v>741</v>
      </c>
      <c r="B5" s="4" t="s">
        <v>742</v>
      </c>
      <c r="C5" s="7" t="n">
        <v>50</v>
      </c>
      <c r="D5" s="4" t="s">
        <v>743</v>
      </c>
      <c r="E5" s="4" t="s">
        <v>744</v>
      </c>
      <c r="F5" s="4" t="s">
        <v>74</v>
      </c>
      <c r="G5" s="23" t="n">
        <v>1</v>
      </c>
      <c r="H5" s="4" t="s">
        <v>745</v>
      </c>
      <c r="I5" s="4" t="s">
        <v>746</v>
      </c>
    </row>
    <row r="6" customFormat="false" ht="15" hidden="false" customHeight="false" outlineLevel="0" collapsed="false">
      <c r="A6" s="4" t="s">
        <v>747</v>
      </c>
      <c r="B6" s="4" t="s">
        <v>748</v>
      </c>
      <c r="C6" s="7" t="n">
        <v>20</v>
      </c>
      <c r="D6" s="4" t="s">
        <v>743</v>
      </c>
      <c r="E6" s="4" t="s">
        <v>749</v>
      </c>
      <c r="F6" s="4" t="s">
        <v>74</v>
      </c>
      <c r="G6" s="23" t="n">
        <v>1</v>
      </c>
      <c r="H6" s="4" t="s">
        <v>750</v>
      </c>
      <c r="I6" s="4" t="s">
        <v>751</v>
      </c>
    </row>
    <row r="7" customFormat="false" ht="15" hidden="false" customHeight="false" outlineLevel="0" collapsed="false">
      <c r="A7" s="4" t="s">
        <v>752</v>
      </c>
      <c r="B7" s="4" t="s">
        <v>753</v>
      </c>
      <c r="C7" s="7" t="n">
        <v>10</v>
      </c>
      <c r="D7" s="4" t="s">
        <v>743</v>
      </c>
      <c r="E7" s="4" t="s">
        <v>754</v>
      </c>
      <c r="F7" s="4" t="s">
        <v>74</v>
      </c>
      <c r="G7" s="23" t="n">
        <v>1</v>
      </c>
      <c r="H7" s="4" t="s">
        <v>745</v>
      </c>
      <c r="I7" s="4" t="s">
        <v>755</v>
      </c>
    </row>
    <row r="8" customFormat="false" ht="15" hidden="false" customHeight="false" outlineLevel="0" collapsed="false">
      <c r="A8" s="4" t="s">
        <v>756</v>
      </c>
      <c r="B8" s="4" t="s">
        <v>757</v>
      </c>
      <c r="C8" s="7" t="n">
        <v>14</v>
      </c>
      <c r="D8" s="4" t="s">
        <v>758</v>
      </c>
      <c r="E8" s="4" t="s">
        <v>744</v>
      </c>
      <c r="F8" s="4" t="s">
        <v>159</v>
      </c>
      <c r="G8" s="23" t="n">
        <v>1</v>
      </c>
      <c r="H8" s="4" t="s">
        <v>745</v>
      </c>
      <c r="I8" s="4" t="s">
        <v>759</v>
      </c>
    </row>
    <row r="9" customFormat="false" ht="15" hidden="false" customHeight="false" outlineLevel="0" collapsed="false">
      <c r="A9" s="4" t="s">
        <v>760</v>
      </c>
      <c r="B9" s="4" t="s">
        <v>761</v>
      </c>
      <c r="C9" s="7" t="n">
        <v>12</v>
      </c>
      <c r="D9" s="4" t="s">
        <v>762</v>
      </c>
      <c r="E9" s="4" t="s">
        <v>744</v>
      </c>
      <c r="F9" s="4" t="s">
        <v>103</v>
      </c>
      <c r="G9" s="23" t="n">
        <v>1.4</v>
      </c>
      <c r="H9" s="4" t="s">
        <v>745</v>
      </c>
      <c r="I9" s="4" t="s">
        <v>763</v>
      </c>
    </row>
    <row r="11" customFormat="false" ht="31.5" hidden="false" customHeight="true" outlineLevel="0" collapsed="false">
      <c r="A11" s="5" t="s">
        <v>377</v>
      </c>
      <c r="B11" s="5" t="s">
        <v>378</v>
      </c>
      <c r="C11" s="5" t="s">
        <v>742</v>
      </c>
      <c r="D11" s="5" t="s">
        <v>748</v>
      </c>
      <c r="E11" s="5" t="s">
        <v>753</v>
      </c>
      <c r="F11" s="5" t="s">
        <v>757</v>
      </c>
      <c r="G11" s="5" t="s">
        <v>761</v>
      </c>
    </row>
    <row r="12" customFormat="false" ht="15" hidden="false" customHeight="false" outlineLevel="0" collapsed="false">
      <c r="A12" s="4" t="s">
        <v>298</v>
      </c>
      <c r="B12" s="4" t="s">
        <v>386</v>
      </c>
      <c r="C12" s="23" t="n">
        <f aca="false">$C$5/($C$5+$C$6+$C$7+$C$8+$C$9)</f>
        <v>0.471698113207547</v>
      </c>
      <c r="D12" s="23" t="n">
        <f aca="false">$C$6/($C$5+$C$6+$C$7+$C$8+$C$9)</f>
        <v>0.188679245283019</v>
      </c>
      <c r="E12" s="23" t="n">
        <f aca="false">$C$7/($C$5+$C$6+$C$7+$C$8+$C$9)</f>
        <v>0.0943396226415094</v>
      </c>
      <c r="F12" s="23" t="n">
        <f aca="false">$C$8/($C$5+$C$6+$C$7+$C$8+$C$9)</f>
        <v>0.132075471698113</v>
      </c>
      <c r="G12" s="23" t="n">
        <f aca="false">$C$9/($C$5+$C$6+$C$7+$C$8+$C$9)</f>
        <v>0.113207547169811</v>
      </c>
    </row>
    <row r="13" customFormat="false" ht="15" hidden="false" customHeight="false" outlineLevel="0" collapsed="false">
      <c r="A13" s="4" t="s">
        <v>311</v>
      </c>
      <c r="B13" s="4" t="s">
        <v>389</v>
      </c>
      <c r="C13" s="23" t="n">
        <f aca="false">$C$5/($C$5+$C$6+$C$7+$C$8+$C$9)</f>
        <v>0.471698113207547</v>
      </c>
      <c r="D13" s="23" t="n">
        <f aca="false">$C$6/($C$5+$C$6+$C$7+$C$8+$C$9)</f>
        <v>0.188679245283019</v>
      </c>
      <c r="E13" s="23" t="n">
        <f aca="false">$C$7/($C$5+$C$6+$C$7+$C$8+$C$9)</f>
        <v>0.0943396226415094</v>
      </c>
      <c r="F13" s="23" t="n">
        <f aca="false">$C$8/($C$5+$C$6+$C$7+$C$8+$C$9)</f>
        <v>0.132075471698113</v>
      </c>
      <c r="G13" s="23" t="n">
        <f aca="false">$C$9/($C$5+$C$6+$C$7+$C$8+$C$9)</f>
        <v>0.113207547169811</v>
      </c>
    </row>
    <row r="14" customFormat="false" ht="15" hidden="false" customHeight="false" outlineLevel="0" collapsed="false">
      <c r="A14" s="4" t="s">
        <v>324</v>
      </c>
      <c r="B14" s="4" t="s">
        <v>392</v>
      </c>
      <c r="C14" s="23" t="n">
        <f aca="false">$C$5/($C$5+$C$6+$C$7+$C$8+$C$9)</f>
        <v>0.471698113207547</v>
      </c>
      <c r="D14" s="23" t="n">
        <f aca="false">$C$6/($C$5+$C$6+$C$7+$C$8+$C$9)</f>
        <v>0.188679245283019</v>
      </c>
      <c r="E14" s="23" t="n">
        <f aca="false">$C$7/($C$5+$C$6+$C$7+$C$8+$C$9)</f>
        <v>0.0943396226415094</v>
      </c>
      <c r="F14" s="23" t="n">
        <f aca="false">$C$8/($C$5+$C$6+$C$7+$C$8+$C$9)</f>
        <v>0.132075471698113</v>
      </c>
      <c r="G14" s="23" t="n">
        <f aca="false">$C$9/($C$5+$C$6+$C$7+$C$8+$C$9)</f>
        <v>0.113207547169811</v>
      </c>
    </row>
    <row r="15" customFormat="false" ht="15" hidden="false" customHeight="false" outlineLevel="0" collapsed="false">
      <c r="A15" s="4" t="s">
        <v>335</v>
      </c>
      <c r="B15" s="4" t="s">
        <v>394</v>
      </c>
      <c r="C15" s="23" t="n">
        <f aca="false">$C$5/($C$5+$C$6+$C$7+$C$8+$C$9)</f>
        <v>0.471698113207547</v>
      </c>
      <c r="D15" s="23" t="n">
        <f aca="false">$C$6/($C$5+$C$6+$C$7+$C$8+$C$9)</f>
        <v>0.188679245283019</v>
      </c>
      <c r="E15" s="23" t="n">
        <f aca="false">$C$7/($C$5+$C$6+$C$7+$C$8+$C$9)</f>
        <v>0.0943396226415094</v>
      </c>
      <c r="F15" s="23" t="n">
        <f aca="false">$C$8/($C$5+$C$6+$C$7+$C$8+$C$9)</f>
        <v>0.132075471698113</v>
      </c>
      <c r="G15" s="23" t="n">
        <f aca="false">$C$9/($C$5+$C$6+$C$7+$C$8+$C$9)</f>
        <v>0.113207547169811</v>
      </c>
    </row>
    <row r="16" customFormat="false" ht="15" hidden="false" customHeight="false" outlineLevel="0" collapsed="false">
      <c r="A16" s="4" t="s">
        <v>346</v>
      </c>
      <c r="B16" s="4" t="s">
        <v>396</v>
      </c>
      <c r="C16" s="23" t="n">
        <f aca="false">$C$5/($C$5+$C$6+$C$7+$C$9)</f>
        <v>0.543478260869565</v>
      </c>
      <c r="D16" s="23" t="n">
        <f aca="false">$C$6/($C$5+$C$6+$C$7+$C$9)</f>
        <v>0.217391304347826</v>
      </c>
      <c r="E16" s="23" t="n">
        <f aca="false">$C$7/($C$5+$C$6+$C$7+$C$9)</f>
        <v>0.108695652173913</v>
      </c>
      <c r="F16" s="23" t="n">
        <v>0</v>
      </c>
      <c r="G16" s="23" t="n">
        <f aca="false">$C$9/($C$5+$C$6+$C$7+$C$9)</f>
        <v>0.130434782608696</v>
      </c>
    </row>
    <row r="17" customFormat="false" ht="15" hidden="false" customHeight="false" outlineLevel="0" collapsed="false">
      <c r="A17" s="4" t="s">
        <v>356</v>
      </c>
      <c r="B17" s="4" t="s">
        <v>398</v>
      </c>
      <c r="C17" s="23" t="n">
        <f aca="false">$C$5/($C$5+$C$6+$C$7+$C$8+$C$9)</f>
        <v>0.471698113207547</v>
      </c>
      <c r="D17" s="23" t="n">
        <f aca="false">$C$6/($C$5+$C$6+$C$7+$C$8+$C$9)</f>
        <v>0.188679245283019</v>
      </c>
      <c r="E17" s="23" t="n">
        <f aca="false">$C$7/($C$5+$C$6+$C$7+$C$8+$C$9)</f>
        <v>0.0943396226415094</v>
      </c>
      <c r="F17" s="23" t="n">
        <f aca="false">$C$8/($C$5+$C$6+$C$7+$C$8+$C$9)</f>
        <v>0.132075471698113</v>
      </c>
      <c r="G17" s="23" t="n">
        <f aca="false">$C$9/($C$5+$C$6+$C$7+$C$8+$C$9)</f>
        <v>0.113207547169811</v>
      </c>
    </row>
    <row r="19" customFormat="false" ht="15" hidden="false" customHeight="false" outlineLevel="0" collapsed="false">
      <c r="A19" s="3" t="s">
        <v>764</v>
      </c>
    </row>
    <row r="20" customFormat="false" ht="31.5" hidden="false" customHeight="true" outlineLevel="0" collapsed="false">
      <c r="A20" s="5" t="s">
        <v>83</v>
      </c>
      <c r="B20" s="5" t="s">
        <v>84</v>
      </c>
      <c r="C20" s="5" t="s">
        <v>765</v>
      </c>
      <c r="D20" s="5" t="s">
        <v>766</v>
      </c>
      <c r="E20" s="5" t="s">
        <v>767</v>
      </c>
    </row>
    <row r="21" customFormat="false" ht="15" hidden="false" customHeight="false" outlineLevel="0" collapsed="false">
      <c r="A21" s="4" t="s">
        <v>187</v>
      </c>
      <c r="B21" s="4" t="s">
        <v>188</v>
      </c>
      <c r="C21" s="4" t="s">
        <v>768</v>
      </c>
      <c r="D21" s="4" t="s">
        <v>769</v>
      </c>
      <c r="E21" s="4" t="s">
        <v>770</v>
      </c>
    </row>
    <row r="22" customFormat="false" ht="15" hidden="false" customHeight="false" outlineLevel="0" collapsed="false">
      <c r="A22" s="4" t="s">
        <v>190</v>
      </c>
      <c r="B22" s="4" t="s">
        <v>191</v>
      </c>
      <c r="C22" s="4" t="s">
        <v>771</v>
      </c>
      <c r="D22" s="4" t="s">
        <v>769</v>
      </c>
      <c r="E22" s="4" t="s">
        <v>772</v>
      </c>
    </row>
    <row r="23" customFormat="false" ht="15" hidden="false" customHeight="false" outlineLevel="0" collapsed="false">
      <c r="A23" s="4" t="s">
        <v>283</v>
      </c>
      <c r="B23" s="4" t="s">
        <v>284</v>
      </c>
      <c r="C23" s="4" t="s">
        <v>773</v>
      </c>
      <c r="D23" s="4" t="s">
        <v>774</v>
      </c>
      <c r="E23" s="4" t="s">
        <v>775</v>
      </c>
    </row>
    <row r="24" customFormat="false" ht="15" hidden="false" customHeight="false" outlineLevel="0" collapsed="false">
      <c r="A24" s="4" t="s">
        <v>287</v>
      </c>
      <c r="B24" s="4" t="s">
        <v>288</v>
      </c>
      <c r="C24" s="4" t="s">
        <v>776</v>
      </c>
      <c r="D24" s="4" t="s">
        <v>774</v>
      </c>
      <c r="E24" s="4" t="s">
        <v>777</v>
      </c>
    </row>
    <row r="26" customFormat="false" ht="15" hidden="false" customHeight="false" outlineLevel="0" collapsed="false">
      <c r="A26" s="2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0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779</v>
      </c>
    </row>
    <row r="4" customFormat="false" ht="31.5" hidden="false" customHeight="true" outlineLevel="0" collapsed="false">
      <c r="A4" s="5" t="s">
        <v>83</v>
      </c>
      <c r="B4" s="5" t="s">
        <v>84</v>
      </c>
      <c r="C4" s="5" t="s">
        <v>629</v>
      </c>
      <c r="D4" s="5" t="s">
        <v>780</v>
      </c>
      <c r="E4" s="5" t="s">
        <v>781</v>
      </c>
      <c r="F4" s="5" t="s">
        <v>782</v>
      </c>
      <c r="G4" s="5" t="s">
        <v>783</v>
      </c>
      <c r="H4" s="5" t="s">
        <v>784</v>
      </c>
    </row>
    <row r="5" customFormat="false" ht="15" hidden="false" customHeight="false" outlineLevel="0" collapsed="false">
      <c r="A5" s="4" t="s">
        <v>544</v>
      </c>
      <c r="B5" s="4" t="s">
        <v>785</v>
      </c>
      <c r="C5" s="4" t="s">
        <v>786</v>
      </c>
      <c r="D5" s="4" t="s">
        <v>72</v>
      </c>
      <c r="E5" s="4" t="n">
        <v>12</v>
      </c>
      <c r="F5" s="7" t="n">
        <v>1</v>
      </c>
      <c r="G5" s="4"/>
      <c r="H5" s="4" t="s">
        <v>787</v>
      </c>
    </row>
    <row r="6" customFormat="false" ht="15" hidden="false" customHeight="false" outlineLevel="0" collapsed="false">
      <c r="A6" s="4" t="s">
        <v>553</v>
      </c>
      <c r="B6" s="4" t="s">
        <v>788</v>
      </c>
      <c r="C6" s="4" t="s">
        <v>786</v>
      </c>
      <c r="D6" s="4" t="s">
        <v>72</v>
      </c>
      <c r="E6" s="4" t="n">
        <v>20</v>
      </c>
      <c r="F6" s="7" t="n">
        <v>2</v>
      </c>
      <c r="G6" s="4"/>
      <c r="H6" s="4" t="s">
        <v>789</v>
      </c>
    </row>
    <row r="7" customFormat="false" ht="15" hidden="false" customHeight="false" outlineLevel="0" collapsed="false">
      <c r="A7" s="4" t="s">
        <v>548</v>
      </c>
      <c r="B7" s="4" t="s">
        <v>790</v>
      </c>
      <c r="C7" s="4" t="s">
        <v>786</v>
      </c>
      <c r="D7" s="4" t="s">
        <v>72</v>
      </c>
      <c r="E7" s="4" t="n">
        <v>35</v>
      </c>
      <c r="F7" s="7" t="n">
        <v>3</v>
      </c>
      <c r="G7" s="4"/>
      <c r="H7" s="4" t="s">
        <v>503</v>
      </c>
    </row>
    <row r="8" customFormat="false" ht="15" hidden="false" customHeight="false" outlineLevel="0" collapsed="false">
      <c r="A8" s="4" t="s">
        <v>547</v>
      </c>
      <c r="B8" s="4" t="s">
        <v>791</v>
      </c>
      <c r="C8" s="4" t="s">
        <v>786</v>
      </c>
      <c r="D8" s="4" t="s">
        <v>72</v>
      </c>
      <c r="E8" s="4" t="n">
        <v>28</v>
      </c>
      <c r="F8" s="7" t="n">
        <v>3</v>
      </c>
      <c r="G8" s="4"/>
      <c r="H8" s="4" t="s">
        <v>213</v>
      </c>
    </row>
    <row r="9" customFormat="false" ht="15" hidden="false" customHeight="false" outlineLevel="0" collapsed="false">
      <c r="A9" s="4" t="s">
        <v>550</v>
      </c>
      <c r="B9" s="4" t="s">
        <v>792</v>
      </c>
      <c r="C9" s="4" t="s">
        <v>786</v>
      </c>
      <c r="D9" s="4" t="s">
        <v>72</v>
      </c>
      <c r="E9" s="4" t="n">
        <v>15</v>
      </c>
      <c r="F9" s="7" t="n">
        <v>2</v>
      </c>
      <c r="G9" s="4"/>
      <c r="H9" s="4" t="s">
        <v>793</v>
      </c>
    </row>
    <row r="10" customFormat="false" ht="15" hidden="false" customHeight="false" outlineLevel="0" collapsed="false">
      <c r="A10" s="4" t="s">
        <v>556</v>
      </c>
      <c r="B10" s="4" t="s">
        <v>794</v>
      </c>
      <c r="C10" s="4" t="s">
        <v>786</v>
      </c>
      <c r="D10" s="4" t="s">
        <v>72</v>
      </c>
      <c r="E10" s="4" t="n">
        <v>30</v>
      </c>
      <c r="F10" s="7" t="n">
        <v>3</v>
      </c>
      <c r="G10" s="4"/>
      <c r="H10" s="4" t="s">
        <v>795</v>
      </c>
    </row>
    <row r="11" customFormat="false" ht="15" hidden="false" customHeight="false" outlineLevel="0" collapsed="false">
      <c r="A11" s="4" t="s">
        <v>554</v>
      </c>
      <c r="B11" s="4" t="s">
        <v>796</v>
      </c>
      <c r="C11" s="4" t="s">
        <v>786</v>
      </c>
      <c r="D11" s="4" t="s">
        <v>72</v>
      </c>
      <c r="E11" s="4" t="n">
        <v>25</v>
      </c>
      <c r="F11" s="7" t="n">
        <v>2</v>
      </c>
      <c r="G11" s="4"/>
      <c r="H11" s="4" t="s">
        <v>797</v>
      </c>
    </row>
    <row r="12" customFormat="false" ht="15" hidden="false" customHeight="false" outlineLevel="0" collapsed="false">
      <c r="A12" s="4" t="s">
        <v>546</v>
      </c>
      <c r="B12" s="4" t="s">
        <v>798</v>
      </c>
      <c r="C12" s="4" t="s">
        <v>799</v>
      </c>
      <c r="D12" s="4" t="s">
        <v>72</v>
      </c>
      <c r="E12" s="4"/>
      <c r="F12" s="7" t="n">
        <v>1</v>
      </c>
      <c r="G12" s="4"/>
      <c r="H12" s="4" t="s">
        <v>800</v>
      </c>
    </row>
    <row r="13" customFormat="false" ht="15" hidden="false" customHeight="false" outlineLevel="0" collapsed="false">
      <c r="A13" s="4" t="s">
        <v>545</v>
      </c>
      <c r="B13" s="4" t="s">
        <v>801</v>
      </c>
      <c r="C13" s="4" t="s">
        <v>799</v>
      </c>
      <c r="D13" s="4" t="s">
        <v>72</v>
      </c>
      <c r="E13" s="4"/>
      <c r="F13" s="7" t="n">
        <v>2</v>
      </c>
      <c r="G13" s="4"/>
      <c r="H13" s="4" t="s">
        <v>802</v>
      </c>
    </row>
    <row r="14" customFormat="false" ht="15" hidden="false" customHeight="false" outlineLevel="0" collapsed="false">
      <c r="A14" s="4" t="s">
        <v>549</v>
      </c>
      <c r="B14" s="4" t="s">
        <v>803</v>
      </c>
      <c r="C14" s="4" t="s">
        <v>799</v>
      </c>
      <c r="D14" s="4" t="s">
        <v>72</v>
      </c>
      <c r="E14" s="4"/>
      <c r="F14" s="7" t="n">
        <v>4</v>
      </c>
      <c r="G14" s="4"/>
      <c r="H14" s="4" t="s">
        <v>804</v>
      </c>
    </row>
    <row r="15" customFormat="false" ht="15" hidden="false" customHeight="false" outlineLevel="0" collapsed="false">
      <c r="A15" s="9" t="s">
        <v>557</v>
      </c>
      <c r="B15" s="9" t="s">
        <v>805</v>
      </c>
      <c r="C15" s="9" t="s">
        <v>806</v>
      </c>
      <c r="D15" s="9" t="s">
        <v>69</v>
      </c>
      <c r="E15" s="9"/>
      <c r="F15" s="7" t="n">
        <v>6</v>
      </c>
      <c r="G15" s="9"/>
      <c r="H15" s="9" t="s">
        <v>807</v>
      </c>
    </row>
    <row r="16" customFormat="false" ht="15" hidden="false" customHeight="false" outlineLevel="0" collapsed="false">
      <c r="A16" s="9" t="s">
        <v>582</v>
      </c>
      <c r="B16" s="9" t="s">
        <v>808</v>
      </c>
      <c r="C16" s="9" t="s">
        <v>806</v>
      </c>
      <c r="D16" s="9" t="s">
        <v>69</v>
      </c>
      <c r="E16" s="9"/>
      <c r="F16" s="7" t="n">
        <v>6</v>
      </c>
      <c r="G16" s="9"/>
      <c r="H16" s="9" t="s">
        <v>809</v>
      </c>
    </row>
    <row r="17" customFormat="false" ht="15" hidden="false" customHeight="false" outlineLevel="0" collapsed="false">
      <c r="A17" s="9" t="s">
        <v>559</v>
      </c>
      <c r="B17" s="9" t="s">
        <v>810</v>
      </c>
      <c r="C17" s="9" t="s">
        <v>806</v>
      </c>
      <c r="D17" s="9" t="s">
        <v>69</v>
      </c>
      <c r="E17" s="9"/>
      <c r="F17" s="7" t="n">
        <v>8</v>
      </c>
      <c r="G17" s="9"/>
      <c r="H17" s="9" t="s">
        <v>811</v>
      </c>
    </row>
    <row r="18" customFormat="false" ht="15" hidden="false" customHeight="false" outlineLevel="0" collapsed="false">
      <c r="A18" s="10" t="s">
        <v>580</v>
      </c>
      <c r="B18" s="10" t="s">
        <v>812</v>
      </c>
      <c r="C18" s="10" t="s">
        <v>806</v>
      </c>
      <c r="D18" s="10" t="s">
        <v>66</v>
      </c>
      <c r="E18" s="10"/>
      <c r="F18" s="7" t="n">
        <v>20</v>
      </c>
      <c r="G18" s="10"/>
      <c r="H18" s="10" t="s">
        <v>813</v>
      </c>
    </row>
    <row r="19" customFormat="false" ht="15" hidden="false" customHeight="false" outlineLevel="0" collapsed="false">
      <c r="A19" s="4" t="s">
        <v>814</v>
      </c>
      <c r="B19" s="4" t="s">
        <v>662</v>
      </c>
      <c r="C19" s="4" t="s">
        <v>815</v>
      </c>
      <c r="D19" s="4" t="s">
        <v>72</v>
      </c>
      <c r="E19" s="4"/>
      <c r="F19" s="7" t="n">
        <v>6</v>
      </c>
      <c r="G19" s="4" t="s">
        <v>816</v>
      </c>
      <c r="H19" s="4" t="s">
        <v>658</v>
      </c>
    </row>
    <row r="20" customFormat="false" ht="15" hidden="false" customHeight="false" outlineLevel="0" collapsed="false">
      <c r="A20" s="4" t="s">
        <v>623</v>
      </c>
      <c r="B20" s="4" t="s">
        <v>695</v>
      </c>
      <c r="C20" s="4" t="s">
        <v>815</v>
      </c>
      <c r="D20" s="4" t="s">
        <v>72</v>
      </c>
      <c r="E20" s="4"/>
      <c r="F20" s="7" t="n">
        <v>5</v>
      </c>
      <c r="G20" s="4" t="s">
        <v>816</v>
      </c>
      <c r="H20" s="4" t="s">
        <v>692</v>
      </c>
    </row>
    <row r="21" customFormat="false" ht="15" hidden="false" customHeight="false" outlineLevel="0" collapsed="false">
      <c r="A21" s="4" t="s">
        <v>624</v>
      </c>
      <c r="B21" s="4" t="s">
        <v>674</v>
      </c>
      <c r="C21" s="4" t="s">
        <v>815</v>
      </c>
      <c r="D21" s="4" t="s">
        <v>72</v>
      </c>
      <c r="E21" s="4"/>
      <c r="F21" s="7" t="n">
        <v>9</v>
      </c>
      <c r="G21" s="4" t="s">
        <v>816</v>
      </c>
      <c r="H21" s="4" t="s">
        <v>671</v>
      </c>
    </row>
    <row r="22" customFormat="false" ht="15" hidden="false" customHeight="false" outlineLevel="0" collapsed="false">
      <c r="A22" s="4" t="s">
        <v>817</v>
      </c>
      <c r="B22" s="4" t="s">
        <v>700</v>
      </c>
      <c r="C22" s="4" t="s">
        <v>815</v>
      </c>
      <c r="D22" s="4" t="s">
        <v>72</v>
      </c>
      <c r="E22" s="4"/>
      <c r="F22" s="7" t="n">
        <v>3</v>
      </c>
      <c r="G22" s="4" t="s">
        <v>818</v>
      </c>
      <c r="H22" s="4" t="s">
        <v>697</v>
      </c>
    </row>
    <row r="23" customFormat="false" ht="15" hidden="false" customHeight="false" outlineLevel="0" collapsed="false">
      <c r="A23" s="4" t="s">
        <v>626</v>
      </c>
      <c r="B23" s="4" t="s">
        <v>685</v>
      </c>
      <c r="C23" s="4" t="s">
        <v>815</v>
      </c>
      <c r="D23" s="4" t="s">
        <v>72</v>
      </c>
      <c r="E23" s="4"/>
      <c r="F23" s="7" t="n">
        <v>7</v>
      </c>
      <c r="G23" s="4" t="s">
        <v>818</v>
      </c>
      <c r="H23" s="4" t="s">
        <v>682</v>
      </c>
    </row>
    <row r="24" customFormat="false" ht="15" hidden="false" customHeight="false" outlineLevel="0" collapsed="false">
      <c r="A24" s="4" t="s">
        <v>625</v>
      </c>
      <c r="B24" s="4" t="s">
        <v>690</v>
      </c>
      <c r="C24" s="4" t="s">
        <v>815</v>
      </c>
      <c r="D24" s="4" t="s">
        <v>72</v>
      </c>
      <c r="E24" s="4"/>
      <c r="F24" s="7" t="n">
        <v>7</v>
      </c>
      <c r="G24" s="4" t="s">
        <v>818</v>
      </c>
      <c r="H24" s="4" t="s">
        <v>687</v>
      </c>
    </row>
    <row r="25" customFormat="false" ht="15" hidden="false" customHeight="false" outlineLevel="0" collapsed="false">
      <c r="A25" s="4" t="s">
        <v>551</v>
      </c>
      <c r="B25" s="4" t="s">
        <v>819</v>
      </c>
      <c r="C25" s="4" t="s">
        <v>799</v>
      </c>
      <c r="D25" s="4" t="s">
        <v>72</v>
      </c>
      <c r="E25" s="4"/>
      <c r="F25" s="7" t="n">
        <v>2</v>
      </c>
      <c r="G25" s="4"/>
      <c r="H25" s="4" t="s">
        <v>820</v>
      </c>
    </row>
    <row r="26" customFormat="false" ht="15" hidden="false" customHeight="false" outlineLevel="0" collapsed="false">
      <c r="A26" s="4" t="s">
        <v>558</v>
      </c>
      <c r="B26" s="4" t="s">
        <v>821</v>
      </c>
      <c r="C26" s="4" t="s">
        <v>806</v>
      </c>
      <c r="D26" s="4" t="s">
        <v>72</v>
      </c>
      <c r="E26" s="4"/>
      <c r="F26" s="7" t="n">
        <v>5</v>
      </c>
      <c r="G26" s="4"/>
      <c r="H26" s="4" t="s">
        <v>822</v>
      </c>
    </row>
    <row r="27" customFormat="false" ht="15" hidden="false" customHeight="false" outlineLevel="0" collapsed="false">
      <c r="A27" s="4" t="s">
        <v>552</v>
      </c>
      <c r="B27" s="4" t="s">
        <v>823</v>
      </c>
      <c r="C27" s="4" t="s">
        <v>799</v>
      </c>
      <c r="D27" s="4" t="s">
        <v>72</v>
      </c>
      <c r="E27" s="4"/>
      <c r="F27" s="7" t="n">
        <v>3</v>
      </c>
      <c r="G27" s="4"/>
      <c r="H27" s="4" t="s">
        <v>824</v>
      </c>
    </row>
    <row r="28" customFormat="false" ht="15" hidden="false" customHeight="false" outlineLevel="0" collapsed="false">
      <c r="A28" s="4" t="s">
        <v>555</v>
      </c>
      <c r="B28" s="4" t="s">
        <v>825</v>
      </c>
      <c r="C28" s="4" t="s">
        <v>799</v>
      </c>
      <c r="D28" s="4" t="s">
        <v>72</v>
      </c>
      <c r="E28" s="4"/>
      <c r="F28" s="7" t="n">
        <v>3</v>
      </c>
      <c r="G28" s="4"/>
      <c r="H28" s="4" t="s">
        <v>826</v>
      </c>
    </row>
    <row r="29" customFormat="false" ht="15" hidden="false" customHeight="false" outlineLevel="0" collapsed="false">
      <c r="A29" s="9" t="s">
        <v>583</v>
      </c>
      <c r="B29" s="9" t="s">
        <v>827</v>
      </c>
      <c r="C29" s="9" t="s">
        <v>806</v>
      </c>
      <c r="D29" s="9" t="s">
        <v>69</v>
      </c>
      <c r="E29" s="9"/>
      <c r="F29" s="7" t="n">
        <v>5</v>
      </c>
      <c r="G29" s="9"/>
      <c r="H29" s="9" t="s">
        <v>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2026-10-17T12:20:36Z</dcterms:created>
  <dc:creator>openpyxl</dc:creator>
  <dc:description/>
  <dc:language>en-US</dc:language>
  <cp:lastModifiedBy/>
  <dcterms:modified xsi:type="dcterms:W3CDTF">2026-10-17T12:20:36Z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