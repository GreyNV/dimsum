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\\Win-k04mujd7isq\b端业务部\工作资料备份\Sara工作资料备份\Sara-客户汇总备份最新版本\COZ-Eden\COZ-355\"/>
    </mc:Choice>
  </mc:AlternateContent>
  <bookViews>
    <workbookView windowWidth="25600" windowHeight="11630"/>
  </bookViews>
  <sheets>
    <sheet name="commercial invoice" sheetId="1" r:id="rId1"/>
    <sheet name="packing list" sheetId="2" r:id="rId2"/>
  </sheets>
  <externalReferences>
    <externalReference r:id="rId5"/>
  </externalReferences>
  <definedNames>
    <definedName name="_xlnm._FilterDatabase" localSheetId="0" hidden="1">'commercial invoice'!$20:$40</definedName>
    <definedName name="_xlnm._FilterDatabase" localSheetId="1" hidden="1">'packing list'!$34:$41</definedName>
    <definedName name="_xlnm.Print_Area" localSheetId="0">'commercial invoice'!$A$1:$J$40</definedName>
  </definedName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<sst xmlns="http://schemas.openxmlformats.org/spreadsheetml/2006/main" count="125" uniqueCount="82">
  <si>
    <t>GREAT SHINE HOUSEWARE LTD</t>
  </si>
  <si>
    <t>ROOM 506, Building 2, No. 58 Tanzhu Road, Minhang District, Shanghai 201108</t>
  </si>
  <si>
    <t>COMMERCIAL INVOICE</t>
  </si>
  <si>
    <t>Messr:</t>
  </si>
  <si>
    <t>INVOICE NO.:</t>
  </si>
  <si>
    <t>COZ-363(COZ-355-363-365)</t>
  </si>
  <si>
    <t>ROOM 506, Building 2, No. 58 Tanzhu Road,</t>
  </si>
  <si>
    <t>Minhang District, Shanghai 201108, China</t>
  </si>
  <si>
    <t>INVOICE Date:</t>
  </si>
  <si>
    <t>Ship to:</t>
  </si>
  <si>
    <t>Sanders Collection Inc.</t>
  </si>
  <si>
    <t>10 Hilda Lane, Monsey, NY 10952 , USA</t>
  </si>
  <si>
    <t>Eli Eleifer</t>
  </si>
  <si>
    <t>+1 845-738-4832</t>
  </si>
  <si>
    <t>PO No.</t>
  </si>
  <si>
    <t>Item.</t>
  </si>
  <si>
    <t>DESCRIPTION</t>
  </si>
  <si>
    <t>PACKING SIZE(CM)</t>
  </si>
  <si>
    <t>Quantities</t>
  </si>
  <si>
    <t>CBM</t>
  </si>
  <si>
    <t>Total</t>
  </si>
  <si>
    <t>PRICE</t>
  </si>
  <si>
    <t>TOTAL</t>
  </si>
  <si>
    <t>Numbers</t>
  </si>
  <si>
    <t>(units)</t>
  </si>
  <si>
    <t>(CBM)</t>
  </si>
  <si>
    <t>(USD)</t>
  </si>
  <si>
    <t>AMOUNT</t>
  </si>
  <si>
    <t>of package</t>
  </si>
  <si>
    <t>(CTN)</t>
  </si>
  <si>
    <t>COZ-355</t>
  </si>
  <si>
    <t>HH-CB-WRMGRY</t>
  </si>
  <si>
    <t>Outside:Canvas with PEVA,3 pockets Inside:Peach skin velvet</t>
  </si>
  <si>
    <t>58*30*60</t>
  </si>
  <si>
    <t>HH-CB-SGEGRN</t>
  </si>
  <si>
    <t>60*30*58</t>
  </si>
  <si>
    <t>COZ-363</t>
  </si>
  <si>
    <t>SB-HDS-05-BG-V2</t>
  </si>
  <si>
    <t>Outer polyester yarn dyed
Inisde: nonwoven+Down imitation fiber+polyester
paper board 2.0mm</t>
  </si>
  <si>
    <t>43*30*40</t>
  </si>
  <si>
    <t>SB-HDS-05-V2</t>
  </si>
  <si>
    <t>SB-STRGBNCH-15IN-BRN-LTHR</t>
  </si>
  <si>
    <t>Leather, MDF Board; Non- woven fabric, Paper Board</t>
  </si>
  <si>
    <t>47*33.3*40</t>
  </si>
  <si>
    <t>SB-STRGBNCH-30IN-PNK-LTHR</t>
  </si>
  <si>
    <t>Boucle fabric +MDF board+non-woven fabric</t>
  </si>
  <si>
    <t>83*39*7</t>
  </si>
  <si>
    <t>SB-STRGBNCH-15IN-GRN-FBRC</t>
  </si>
  <si>
    <t>47*33*40</t>
  </si>
  <si>
    <t>SB-STRGBNCH-43IN-GRN-VLVT</t>
  </si>
  <si>
    <t>117*39*7.5</t>
  </si>
  <si>
    <t>SB-STRGBNCH-43IN-LTGRY-LTHR</t>
  </si>
  <si>
    <t>117*38.5*7.5</t>
  </si>
  <si>
    <t>COZ-365</t>
  </si>
  <si>
    <t>HH-CB</t>
  </si>
  <si>
    <t>HH-CB-MSTRD</t>
  </si>
  <si>
    <t>DDP Cost</t>
  </si>
  <si>
    <t>Total Amount:</t>
  </si>
  <si>
    <t>Deposit Received from COZ-363</t>
  </si>
  <si>
    <t>Deposit Received from COZ-355</t>
  </si>
  <si>
    <t>Balance Due:</t>
  </si>
  <si>
    <t>TOTAL AMOUNT :  SAY US DOLLARS SEVENTY THREE THOUSAND NINE HUNDRED THIRTY-EIGHT AND ZERO ONE CENTS ONLY</t>
  </si>
  <si>
    <r>
      <rPr>
        <b/>
        <sz val="14"/>
        <color rgb="FFFF0000"/>
        <rFont val="Times New Roman"/>
        <charset val="204"/>
      </rPr>
      <t>Beneficiary name: Great Shine Houseware Ltd
Beneficiary Account Number: 63003420941
Swift Code: CHASHKHHXXX
Country/Region: HongKong
Beneficiary Address: Units 1260, 12/F, Emperor Group Centre, 288 Hennessy Road, Wan Chai, Hong Kong
Beneficiary Bank: JPMorgan Chase Bank N.A., Hong Kong Branch
Beneficiary Bank Address: CHARTER HOUSE, 8 CONNAUGHT ROAD, CENTRAL, HONG KONG
Bank Code</t>
    </r>
    <r>
      <rPr>
        <b/>
        <sz val="14"/>
        <color rgb="FFFF0000"/>
        <rFont val="宋体"/>
        <charset val="204"/>
      </rPr>
      <t>：</t>
    </r>
    <r>
      <rPr>
        <b/>
        <sz val="14"/>
        <color rgb="FFFF0000"/>
        <rFont val="Times New Roman"/>
        <charset val="204"/>
      </rPr>
      <t>007
Branch Code: 863</t>
    </r>
  </si>
  <si>
    <t>PACKING LIST</t>
  </si>
  <si>
    <t>PI NO.:</t>
  </si>
  <si>
    <t>B/L NO.:</t>
  </si>
  <si>
    <t>EGLV142603382332</t>
  </si>
  <si>
    <t>CONTAINER NO.：</t>
  </si>
  <si>
    <t>HPCU4900346</t>
  </si>
  <si>
    <t>SEAL NO.:</t>
  </si>
  <si>
    <t>EMCVQQ9944</t>
  </si>
  <si>
    <t>Ship to :</t>
  </si>
  <si>
    <t>VESSEL/VOY:</t>
  </si>
  <si>
    <t xml:space="preserve">OOCL TULIP V. 005E </t>
  </si>
  <si>
    <t>LOADING DATE</t>
  </si>
  <si>
    <t>ETD:</t>
  </si>
  <si>
    <t>DESTINATION:</t>
  </si>
  <si>
    <t>NY Port</t>
  </si>
  <si>
    <t>G.W.</t>
  </si>
  <si>
    <t>N.W.</t>
  </si>
  <si>
    <t>(kgs)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</si>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</sst>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dd\-mmm\-yy"/>
    <numFmt numFmtId="178" formatCode="0.000_ "/>
    <numFmt numFmtId="179" formatCode="0.00_ "/>
    <numFmt numFmtId="180" formatCode="0_ "/>
    <numFmt numFmtId="181" formatCode="\$#,##0.00;\-\$#,##0.00"/>
  </numFmts>
  <fonts count="43">
    <font>
      <sz val="12"/>
      <name val="宋体"/>
      <charset val="134"/>
    </font>
    <font>
      <sz val="14"/>
      <name val="宋体"/>
      <charset val="134"/>
    </font>
    <font>
      <b/>
      <sz val="24"/>
      <name val="Arial Narrow"/>
      <charset val="204"/>
    </font>
    <font>
      <sz val="16"/>
      <name val="Arial Narrow"/>
      <charset val="204"/>
    </font>
    <font>
      <b/>
      <sz val="14"/>
      <color rgb="FF000000"/>
      <name val="Calibri"/>
      <charset val="204"/>
    </font>
    <font>
      <b/>
      <u/>
      <sz val="22"/>
      <name val="Times New Roman"/>
      <charset val="204"/>
    </font>
    <font>
      <b/>
      <sz val="16"/>
      <name val="宋体"/>
      <charset val="134"/>
    </font>
    <font>
      <b/>
      <u/>
      <sz val="22"/>
      <name val="宋体"/>
      <charset val="134"/>
    </font>
    <font>
      <u/>
      <sz val="22"/>
      <name val="宋体"/>
      <charset val="134"/>
    </font>
    <font>
      <b/>
      <sz val="16"/>
      <name val="Times New Roman"/>
      <charset val="204"/>
    </font>
    <font>
      <b/>
      <sz val="16"/>
      <color indexed="8"/>
      <name val="Times New Roman"/>
      <charset val="204"/>
    </font>
    <font>
      <sz val="16"/>
      <name val="宋体"/>
      <charset val="134"/>
    </font>
    <font>
      <b/>
      <sz val="12"/>
      <color rgb="FF000000"/>
      <name val="Times New Roman"/>
      <charset val="204"/>
    </font>
    <font>
      <b/>
      <sz val="12"/>
      <name val="Times New Roman"/>
      <charset val="204"/>
    </font>
    <font>
      <b/>
      <sz val="14"/>
      <name val="Times New Roman"/>
      <charset val="204"/>
    </font>
    <font>
      <b/>
      <sz val="14"/>
      <name val="宋体"/>
      <charset val="134"/>
    </font>
    <font>
      <b/>
      <sz val="12"/>
      <color rgb="FFFF0000"/>
      <name val="宋体"/>
      <charset val="134"/>
    </font>
    <font>
      <b/>
      <sz val="14"/>
      <color rgb="FF000000"/>
      <name val="Times New Roman"/>
      <charset val="204"/>
    </font>
    <font>
      <b/>
      <sz val="14"/>
      <color rgb="FFFF0000"/>
      <name val="Times New Roman"/>
      <charset val="20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4"/>
      <name val="ＭＳ 明朝"/>
      <charset val="134"/>
    </font>
    <font>
      <b/>
      <sz val="14"/>
      <color rgb="FFFF0000"/>
      <name val="宋体"/>
      <charset val="20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" borderId="1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13" applyNumberFormat="0" applyAlignment="0" applyProtection="0">
      <alignment vertical="center"/>
    </xf>
    <xf numFmtId="0" fontId="30" fillId="5" borderId="14" applyNumberFormat="0" applyAlignment="0" applyProtection="0">
      <alignment vertical="center"/>
    </xf>
    <xf numFmtId="0" fontId="31" fillId="5" borderId="13" applyNumberFormat="0" applyAlignment="0" applyProtection="0">
      <alignment vertical="center"/>
    </xf>
    <xf numFmtId="0" fontId="32" fillId="6" borderId="15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0" fillId="0" borderId="0">
      <alignment vertical="center"/>
    </xf>
    <xf numFmtId="38" fontId="40" fillId="0" borderId="0" applyFont="0" applyFill="0" applyBorder="0" applyAlignment="0" applyProtection="0"/>
    <xf numFmtId="0" fontId="41" fillId="0" borderId="0"/>
    <xf numFmtId="0" fontId="20" fillId="0" borderId="0">
      <alignment vertical="center"/>
    </xf>
  </cellStyleXfs>
  <cellXfs count="11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2" xfId="49" applyFont="1" applyBorder="1" applyAlignment="1">
      <alignment horizontal="left" vertical="center"/>
    </xf>
    <xf numFmtId="0" fontId="9" fillId="0" borderId="0" xfId="49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/>
    </xf>
    <xf numFmtId="0" fontId="9" fillId="0" borderId="2" xfId="49" applyFont="1" applyBorder="1" applyAlignment="1">
      <alignment horizontal="left" vertical="center" wrapText="1"/>
    </xf>
    <xf numFmtId="0" fontId="9" fillId="0" borderId="0" xfId="49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9" fillId="0" borderId="4" xfId="0" applyNumberFormat="1" applyFont="1" applyFill="1" applyBorder="1" applyAlignment="1">
      <alignment horizontal="left" vertical="center"/>
    </xf>
    <xf numFmtId="177" fontId="9" fillId="0" borderId="4" xfId="0" applyNumberFormat="1" applyFont="1" applyFill="1" applyBorder="1" applyAlignment="1">
      <alignment horizontal="left" vertical="center"/>
    </xf>
    <xf numFmtId="0" fontId="9" fillId="0" borderId="0" xfId="49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177" fontId="9" fillId="0" borderId="5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178" fontId="9" fillId="0" borderId="6" xfId="0" applyNumberFormat="1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vertical="center"/>
    </xf>
    <xf numFmtId="0" fontId="12" fillId="0" borderId="6" xfId="0" applyFont="1" applyBorder="1" applyAlignment="1">
      <alignment horizontal="center" vertical="center" wrapText="1"/>
    </xf>
    <xf numFmtId="178" fontId="12" fillId="0" borderId="6" xfId="0" applyNumberFormat="1" applyFont="1" applyBorder="1" applyAlignment="1">
      <alignment horizontal="center" vertical="center" wrapText="1"/>
    </xf>
    <xf numFmtId="179" fontId="12" fillId="0" borderId="6" xfId="0" applyNumberFormat="1" applyFont="1" applyBorder="1" applyAlignment="1">
      <alignment horizontal="center" vertical="center" wrapText="1"/>
    </xf>
    <xf numFmtId="2" fontId="12" fillId="0" borderId="6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79" fontId="14" fillId="0" borderId="6" xfId="49" applyNumberFormat="1" applyFont="1" applyBorder="1" applyAlignment="1">
      <alignment horizontal="center" vertical="center"/>
    </xf>
    <xf numFmtId="180" fontId="14" fillId="0" borderId="6" xfId="49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49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right" vertical="center"/>
    </xf>
    <xf numFmtId="178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7" fontId="9" fillId="0" borderId="4" xfId="0" applyNumberFormat="1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176" fontId="9" fillId="0" borderId="0" xfId="0" applyNumberFormat="1" applyFont="1" applyAlignment="1">
      <alignment vertical="center"/>
    </xf>
    <xf numFmtId="0" fontId="9" fillId="0" borderId="2" xfId="0" applyFont="1" applyBorder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1" fontId="12" fillId="0" borderId="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9" fontId="0" fillId="0" borderId="0" xfId="0" applyNumberFormat="1" applyAlignment="1">
      <alignment vertical="center"/>
    </xf>
    <xf numFmtId="0" fontId="14" fillId="0" borderId="7" xfId="49" applyFont="1" applyBorder="1" applyAlignment="1">
      <alignment horizontal="center" vertical="center"/>
    </xf>
    <xf numFmtId="0" fontId="14" fillId="0" borderId="8" xfId="49" applyFont="1" applyBorder="1" applyAlignment="1">
      <alignment horizontal="center" vertical="center"/>
    </xf>
    <xf numFmtId="0" fontId="14" fillId="0" borderId="9" xfId="49" applyFont="1" applyBorder="1" applyAlignment="1">
      <alignment horizontal="center" vertical="center"/>
    </xf>
    <xf numFmtId="0" fontId="14" fillId="0" borderId="6" xfId="49" applyFont="1" applyBorder="1" applyAlignment="1">
      <alignment horizontal="center" vertical="center"/>
    </xf>
    <xf numFmtId="178" fontId="14" fillId="0" borderId="6" xfId="49" applyNumberFormat="1" applyFont="1" applyBorder="1" applyAlignment="1">
      <alignment horizontal="center" vertical="center"/>
    </xf>
    <xf numFmtId="181" fontId="14" fillId="0" borderId="6" xfId="49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4" fillId="2" borderId="7" xfId="49" applyFont="1" applyFill="1" applyBorder="1" applyAlignment="1">
      <alignment horizontal="center" vertical="center"/>
    </xf>
    <xf numFmtId="0" fontId="14" fillId="2" borderId="8" xfId="49" applyFont="1" applyFill="1" applyBorder="1" applyAlignment="1">
      <alignment horizontal="center" vertical="center"/>
    </xf>
    <xf numFmtId="0" fontId="14" fillId="2" borderId="9" xfId="49" applyFont="1" applyFill="1" applyBorder="1" applyAlignment="1">
      <alignment horizontal="center" vertical="center"/>
    </xf>
    <xf numFmtId="0" fontId="14" fillId="2" borderId="6" xfId="49" applyFont="1" applyFill="1" applyBorder="1" applyAlignment="1">
      <alignment horizontal="center" vertical="center"/>
    </xf>
    <xf numFmtId="178" fontId="14" fillId="2" borderId="6" xfId="49" applyNumberFormat="1" applyFont="1" applyFill="1" applyBorder="1" applyAlignment="1">
      <alignment horizontal="center" vertical="center"/>
    </xf>
    <xf numFmtId="181" fontId="14" fillId="2" borderId="6" xfId="49" applyNumberFormat="1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181" fontId="0" fillId="0" borderId="0" xfId="0" applyNumberFormat="1" applyFont="1" applyAlignment="1">
      <alignment vertical="center"/>
    </xf>
    <xf numFmtId="0" fontId="18" fillId="2" borderId="7" xfId="49" applyFont="1" applyFill="1" applyBorder="1" applyAlignment="1">
      <alignment horizontal="center" vertical="center"/>
    </xf>
    <xf numFmtId="0" fontId="18" fillId="2" borderId="8" xfId="49" applyFont="1" applyFill="1" applyBorder="1" applyAlignment="1">
      <alignment horizontal="center" vertical="center"/>
    </xf>
    <xf numFmtId="0" fontId="18" fillId="2" borderId="9" xfId="49" applyFont="1" applyFill="1" applyBorder="1" applyAlignment="1">
      <alignment horizontal="center" vertical="center"/>
    </xf>
    <xf numFmtId="0" fontId="18" fillId="2" borderId="6" xfId="49" applyFont="1" applyFill="1" applyBorder="1" applyAlignment="1">
      <alignment horizontal="center" vertical="center"/>
    </xf>
    <xf numFmtId="178" fontId="18" fillId="2" borderId="6" xfId="49" applyNumberFormat="1" applyFont="1" applyFill="1" applyBorder="1" applyAlignment="1">
      <alignment horizontal="center" vertical="center"/>
    </xf>
    <xf numFmtId="181" fontId="18" fillId="2" borderId="6" xfId="49" applyNumberFormat="1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left" vertical="center" wrapText="1"/>
    </xf>
    <xf numFmtId="0" fontId="9" fillId="0" borderId="2" xfId="0" applyFont="1" applyBorder="1" applyAlignment="1" quotePrefix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ard 2" xfId="49"/>
    <cellStyle name="常规 5" xfId="50"/>
    <cellStyle name="常规 6" xfId="51"/>
    <cellStyle name="桁区切り 2" xfId="52"/>
    <cellStyle name="標準_20090521　ジェフサ本皮張り（OK店）Okinawa20Fバージョン" xfId="53"/>
    <cellStyle name="常规 2" xfId="54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/B&#31471;&#24050;&#25253;&#20851;/COZ-355-363-365&#65288;&#40511;&#36125;ACP_&#40511;&#36125;&#32447;&#19979;&#65289;2026.9.17/1%20&#35746;&#33329;/COZ-355-363-365%20&#20986;&#36135;--&#25253;&#20851;%20-%202026.9.1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CKING LIST"/>
      <sheetName val="PACKING LIST  "/>
      <sheetName val="DDP询价"/>
      <sheetName val="2.11 宁波内装"/>
      <sheetName val="Sheet1"/>
    </sheetNames>
    <sheetDataSet>
      <sheetData sheetId="0"/>
      <sheetData sheetId="1">
        <row r="15">
          <cell r="G15">
            <v>146</v>
          </cell>
          <cell r="H15">
            <v>43</v>
          </cell>
          <cell r="I15">
            <v>30</v>
          </cell>
          <cell r="J15">
            <v>40</v>
          </cell>
        </row>
        <row r="16">
          <cell r="G16">
            <v>400</v>
          </cell>
          <cell r="H16">
            <v>43</v>
          </cell>
          <cell r="I16">
            <v>30</v>
          </cell>
          <cell r="J16">
            <v>40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40"/>
  <sheetViews>
    <sheetView tabSelected="1" view="pageBreakPreview" zoomScale="75" zoomScaleNormal="90" workbookViewId="0">
      <selection activeCell="I9" sqref="I9:J10"/>
    </sheetView>
  </sheetViews>
  <sheetFormatPr defaultColWidth="9" defaultRowHeight="15"/>
  <cols>
    <col min="1" max="1" width="10.6416666666667" style="3" customWidth="1"/>
    <col min="2" max="2" width="21.6" style="3" customWidth="1"/>
    <col min="3" max="3" width="26.7583333333333" style="3" customWidth="1"/>
    <col min="4" max="4" width="15.0833333333333" style="3" customWidth="1"/>
    <col min="5" max="5" width="16" style="3" customWidth="1"/>
    <col min="6" max="6" width="9.53333333333333" style="3" customWidth="1"/>
    <col min="7" max="7" width="12.5" style="4" customWidth="1"/>
    <col min="8" max="8" width="11.375" style="3" customWidth="1"/>
    <col min="9" max="9" width="12.875" style="3" customWidth="1"/>
    <col min="10" max="10" width="14.2583333333333" style="3" customWidth="1"/>
    <col min="11" max="11" width="12.375" style="75" customWidth="1"/>
    <col min="12" max="12" width="16.25" style="3" customWidth="1"/>
    <col min="13" max="13" width="9.375" style="3"/>
    <col min="14" max="14" width="9" style="3"/>
    <col min="15" max="15" width="18.5" style="3" customWidth="1"/>
    <col min="16" max="16" width="9.375" style="3"/>
    <col min="17" max="17" width="12.625" style="3"/>
    <col min="18" max="18" width="11.5" style="3"/>
    <col min="19" max="255" width="9" style="3"/>
    <col min="256" max="256" width="14.75" style="3" customWidth="1"/>
    <col min="257" max="257" width="26" style="3" customWidth="1"/>
    <col min="258" max="258" width="15.125" style="3" customWidth="1"/>
    <col min="259" max="259" width="15.375" style="3" customWidth="1"/>
    <col min="260" max="260" width="12.375" style="3" customWidth="1"/>
    <col min="261" max="261" width="10.875" style="3" customWidth="1"/>
    <col min="262" max="262" width="11.375" style="3" customWidth="1"/>
    <col min="263" max="263" width="10.75" style="3" customWidth="1"/>
    <col min="264" max="264" width="9.25" style="3" customWidth="1"/>
    <col min="265" max="265" width="13.5" style="3" customWidth="1"/>
    <col min="266" max="266" width="5.375" style="3" customWidth="1"/>
    <col min="267" max="511" width="9" style="3"/>
    <col min="512" max="512" width="14.75" style="3" customWidth="1"/>
    <col min="513" max="513" width="26" style="3" customWidth="1"/>
    <col min="514" max="514" width="15.125" style="3" customWidth="1"/>
    <col min="515" max="515" width="15.375" style="3" customWidth="1"/>
    <col min="516" max="516" width="12.375" style="3" customWidth="1"/>
    <col min="517" max="517" width="10.875" style="3" customWidth="1"/>
    <col min="518" max="518" width="11.375" style="3" customWidth="1"/>
    <col min="519" max="519" width="10.75" style="3" customWidth="1"/>
    <col min="520" max="520" width="9.25" style="3" customWidth="1"/>
    <col min="521" max="521" width="13.5" style="3" customWidth="1"/>
    <col min="522" max="522" width="5.375" style="3" customWidth="1"/>
    <col min="523" max="767" width="9" style="3"/>
    <col min="768" max="768" width="14.75" style="3" customWidth="1"/>
    <col min="769" max="769" width="26" style="3" customWidth="1"/>
    <col min="770" max="770" width="15.125" style="3" customWidth="1"/>
    <col min="771" max="771" width="15.375" style="3" customWidth="1"/>
    <col min="772" max="772" width="12.375" style="3" customWidth="1"/>
    <col min="773" max="773" width="10.875" style="3" customWidth="1"/>
    <col min="774" max="774" width="11.375" style="3" customWidth="1"/>
    <col min="775" max="775" width="10.75" style="3" customWidth="1"/>
    <col min="776" max="776" width="9.25" style="3" customWidth="1"/>
    <col min="777" max="777" width="13.5" style="3" customWidth="1"/>
    <col min="778" max="778" width="5.375" style="3" customWidth="1"/>
    <col min="779" max="1023" width="9" style="3"/>
    <col min="1024" max="1024" width="14.75" style="3" customWidth="1"/>
    <col min="1025" max="1025" width="26" style="3" customWidth="1"/>
    <col min="1026" max="1026" width="15.125" style="3" customWidth="1"/>
    <col min="1027" max="1027" width="15.375" style="3" customWidth="1"/>
    <col min="1028" max="1028" width="12.375" style="3" customWidth="1"/>
    <col min="1029" max="1029" width="10.875" style="3" customWidth="1"/>
    <col min="1030" max="1030" width="11.375" style="3" customWidth="1"/>
    <col min="1031" max="1031" width="10.75" style="3" customWidth="1"/>
    <col min="1032" max="1032" width="9.25" style="3" customWidth="1"/>
    <col min="1033" max="1033" width="13.5" style="3" customWidth="1"/>
    <col min="1034" max="1034" width="5.375" style="3" customWidth="1"/>
    <col min="1035" max="1279" width="9" style="3"/>
    <col min="1280" max="1280" width="14.75" style="3" customWidth="1"/>
    <col min="1281" max="1281" width="26" style="3" customWidth="1"/>
    <col min="1282" max="1282" width="15.125" style="3" customWidth="1"/>
    <col min="1283" max="1283" width="15.375" style="3" customWidth="1"/>
    <col min="1284" max="1284" width="12.375" style="3" customWidth="1"/>
    <col min="1285" max="1285" width="10.875" style="3" customWidth="1"/>
    <col min="1286" max="1286" width="11.375" style="3" customWidth="1"/>
    <col min="1287" max="1287" width="10.75" style="3" customWidth="1"/>
    <col min="1288" max="1288" width="9.25" style="3" customWidth="1"/>
    <col min="1289" max="1289" width="13.5" style="3" customWidth="1"/>
    <col min="1290" max="1290" width="5.375" style="3" customWidth="1"/>
    <col min="1291" max="1535" width="9" style="3"/>
    <col min="1536" max="1536" width="14.75" style="3" customWidth="1"/>
    <col min="1537" max="1537" width="26" style="3" customWidth="1"/>
    <col min="1538" max="1538" width="15.125" style="3" customWidth="1"/>
    <col min="1539" max="1539" width="15.375" style="3" customWidth="1"/>
    <col min="1540" max="1540" width="12.375" style="3" customWidth="1"/>
    <col min="1541" max="1541" width="10.875" style="3" customWidth="1"/>
    <col min="1542" max="1542" width="11.375" style="3" customWidth="1"/>
    <col min="1543" max="1543" width="10.75" style="3" customWidth="1"/>
    <col min="1544" max="1544" width="9.25" style="3" customWidth="1"/>
    <col min="1545" max="1545" width="13.5" style="3" customWidth="1"/>
    <col min="1546" max="1546" width="5.375" style="3" customWidth="1"/>
    <col min="1547" max="1791" width="9" style="3"/>
    <col min="1792" max="1792" width="14.75" style="3" customWidth="1"/>
    <col min="1793" max="1793" width="26" style="3" customWidth="1"/>
    <col min="1794" max="1794" width="15.125" style="3" customWidth="1"/>
    <col min="1795" max="1795" width="15.375" style="3" customWidth="1"/>
    <col min="1796" max="1796" width="12.375" style="3" customWidth="1"/>
    <col min="1797" max="1797" width="10.875" style="3" customWidth="1"/>
    <col min="1798" max="1798" width="11.375" style="3" customWidth="1"/>
    <col min="1799" max="1799" width="10.75" style="3" customWidth="1"/>
    <col min="1800" max="1800" width="9.25" style="3" customWidth="1"/>
    <col min="1801" max="1801" width="13.5" style="3" customWidth="1"/>
    <col min="1802" max="1802" width="5.375" style="3" customWidth="1"/>
    <col min="1803" max="2047" width="9" style="3"/>
    <col min="2048" max="2048" width="14.75" style="3" customWidth="1"/>
    <col min="2049" max="2049" width="26" style="3" customWidth="1"/>
    <col min="2050" max="2050" width="15.125" style="3" customWidth="1"/>
    <col min="2051" max="2051" width="15.375" style="3" customWidth="1"/>
    <col min="2052" max="2052" width="12.375" style="3" customWidth="1"/>
    <col min="2053" max="2053" width="10.875" style="3" customWidth="1"/>
    <col min="2054" max="2054" width="11.375" style="3" customWidth="1"/>
    <col min="2055" max="2055" width="10.75" style="3" customWidth="1"/>
    <col min="2056" max="2056" width="9.25" style="3" customWidth="1"/>
    <col min="2057" max="2057" width="13.5" style="3" customWidth="1"/>
    <col min="2058" max="2058" width="5.375" style="3" customWidth="1"/>
    <col min="2059" max="2303" width="9" style="3"/>
    <col min="2304" max="2304" width="14.75" style="3" customWidth="1"/>
    <col min="2305" max="2305" width="26" style="3" customWidth="1"/>
    <col min="2306" max="2306" width="15.125" style="3" customWidth="1"/>
    <col min="2307" max="2307" width="15.375" style="3" customWidth="1"/>
    <col min="2308" max="2308" width="12.375" style="3" customWidth="1"/>
    <col min="2309" max="2309" width="10.875" style="3" customWidth="1"/>
    <col min="2310" max="2310" width="11.375" style="3" customWidth="1"/>
    <col min="2311" max="2311" width="10.75" style="3" customWidth="1"/>
    <col min="2312" max="2312" width="9.25" style="3" customWidth="1"/>
    <col min="2313" max="2313" width="13.5" style="3" customWidth="1"/>
    <col min="2314" max="2314" width="5.375" style="3" customWidth="1"/>
    <col min="2315" max="2559" width="9" style="3"/>
    <col min="2560" max="2560" width="14.75" style="3" customWidth="1"/>
    <col min="2561" max="2561" width="26" style="3" customWidth="1"/>
    <col min="2562" max="2562" width="15.125" style="3" customWidth="1"/>
    <col min="2563" max="2563" width="15.375" style="3" customWidth="1"/>
    <col min="2564" max="2564" width="12.375" style="3" customWidth="1"/>
    <col min="2565" max="2565" width="10.875" style="3" customWidth="1"/>
    <col min="2566" max="2566" width="11.375" style="3" customWidth="1"/>
    <col min="2567" max="2567" width="10.75" style="3" customWidth="1"/>
    <col min="2568" max="2568" width="9.25" style="3" customWidth="1"/>
    <col min="2569" max="2569" width="13.5" style="3" customWidth="1"/>
    <col min="2570" max="2570" width="5.375" style="3" customWidth="1"/>
    <col min="2571" max="2815" width="9" style="3"/>
    <col min="2816" max="2816" width="14.75" style="3" customWidth="1"/>
    <col min="2817" max="2817" width="26" style="3" customWidth="1"/>
    <col min="2818" max="2818" width="15.125" style="3" customWidth="1"/>
    <col min="2819" max="2819" width="15.375" style="3" customWidth="1"/>
    <col min="2820" max="2820" width="12.375" style="3" customWidth="1"/>
    <col min="2821" max="2821" width="10.875" style="3" customWidth="1"/>
    <col min="2822" max="2822" width="11.375" style="3" customWidth="1"/>
    <col min="2823" max="2823" width="10.75" style="3" customWidth="1"/>
    <col min="2824" max="2824" width="9.25" style="3" customWidth="1"/>
    <col min="2825" max="2825" width="13.5" style="3" customWidth="1"/>
    <col min="2826" max="2826" width="5.375" style="3" customWidth="1"/>
    <col min="2827" max="3071" width="9" style="3"/>
    <col min="3072" max="3072" width="14.75" style="3" customWidth="1"/>
    <col min="3073" max="3073" width="26" style="3" customWidth="1"/>
    <col min="3074" max="3074" width="15.125" style="3" customWidth="1"/>
    <col min="3075" max="3075" width="15.375" style="3" customWidth="1"/>
    <col min="3076" max="3076" width="12.375" style="3" customWidth="1"/>
    <col min="3077" max="3077" width="10.875" style="3" customWidth="1"/>
    <col min="3078" max="3078" width="11.375" style="3" customWidth="1"/>
    <col min="3079" max="3079" width="10.75" style="3" customWidth="1"/>
    <col min="3080" max="3080" width="9.25" style="3" customWidth="1"/>
    <col min="3081" max="3081" width="13.5" style="3" customWidth="1"/>
    <col min="3082" max="3082" width="5.375" style="3" customWidth="1"/>
    <col min="3083" max="3327" width="9" style="3"/>
    <col min="3328" max="3328" width="14.75" style="3" customWidth="1"/>
    <col min="3329" max="3329" width="26" style="3" customWidth="1"/>
    <col min="3330" max="3330" width="15.125" style="3" customWidth="1"/>
    <col min="3331" max="3331" width="15.375" style="3" customWidth="1"/>
    <col min="3332" max="3332" width="12.375" style="3" customWidth="1"/>
    <col min="3333" max="3333" width="10.875" style="3" customWidth="1"/>
    <col min="3334" max="3334" width="11.375" style="3" customWidth="1"/>
    <col min="3335" max="3335" width="10.75" style="3" customWidth="1"/>
    <col min="3336" max="3336" width="9.25" style="3" customWidth="1"/>
    <col min="3337" max="3337" width="13.5" style="3" customWidth="1"/>
    <col min="3338" max="3338" width="5.375" style="3" customWidth="1"/>
    <col min="3339" max="3583" width="9" style="3"/>
    <col min="3584" max="3584" width="14.75" style="3" customWidth="1"/>
    <col min="3585" max="3585" width="26" style="3" customWidth="1"/>
    <col min="3586" max="3586" width="15.125" style="3" customWidth="1"/>
    <col min="3587" max="3587" width="15.375" style="3" customWidth="1"/>
    <col min="3588" max="3588" width="12.375" style="3" customWidth="1"/>
    <col min="3589" max="3589" width="10.875" style="3" customWidth="1"/>
    <col min="3590" max="3590" width="11.375" style="3" customWidth="1"/>
    <col min="3591" max="3591" width="10.75" style="3" customWidth="1"/>
    <col min="3592" max="3592" width="9.25" style="3" customWidth="1"/>
    <col min="3593" max="3593" width="13.5" style="3" customWidth="1"/>
    <col min="3594" max="3594" width="5.375" style="3" customWidth="1"/>
    <col min="3595" max="3839" width="9" style="3"/>
    <col min="3840" max="3840" width="14.75" style="3" customWidth="1"/>
    <col min="3841" max="3841" width="26" style="3" customWidth="1"/>
    <col min="3842" max="3842" width="15.125" style="3" customWidth="1"/>
    <col min="3843" max="3843" width="15.375" style="3" customWidth="1"/>
    <col min="3844" max="3844" width="12.375" style="3" customWidth="1"/>
    <col min="3845" max="3845" width="10.875" style="3" customWidth="1"/>
    <col min="3846" max="3846" width="11.375" style="3" customWidth="1"/>
    <col min="3847" max="3847" width="10.75" style="3" customWidth="1"/>
    <col min="3848" max="3848" width="9.25" style="3" customWidth="1"/>
    <col min="3849" max="3849" width="13.5" style="3" customWidth="1"/>
    <col min="3850" max="3850" width="5.375" style="3" customWidth="1"/>
    <col min="3851" max="4095" width="9" style="3"/>
    <col min="4096" max="4096" width="14.75" style="3" customWidth="1"/>
    <col min="4097" max="4097" width="26" style="3" customWidth="1"/>
    <col min="4098" max="4098" width="15.125" style="3" customWidth="1"/>
    <col min="4099" max="4099" width="15.375" style="3" customWidth="1"/>
    <col min="4100" max="4100" width="12.375" style="3" customWidth="1"/>
    <col min="4101" max="4101" width="10.875" style="3" customWidth="1"/>
    <col min="4102" max="4102" width="11.375" style="3" customWidth="1"/>
    <col min="4103" max="4103" width="10.75" style="3" customWidth="1"/>
    <col min="4104" max="4104" width="9.25" style="3" customWidth="1"/>
    <col min="4105" max="4105" width="13.5" style="3" customWidth="1"/>
    <col min="4106" max="4106" width="5.375" style="3" customWidth="1"/>
    <col min="4107" max="4351" width="9" style="3"/>
    <col min="4352" max="4352" width="14.75" style="3" customWidth="1"/>
    <col min="4353" max="4353" width="26" style="3" customWidth="1"/>
    <col min="4354" max="4354" width="15.125" style="3" customWidth="1"/>
    <col min="4355" max="4355" width="15.375" style="3" customWidth="1"/>
    <col min="4356" max="4356" width="12.375" style="3" customWidth="1"/>
    <col min="4357" max="4357" width="10.875" style="3" customWidth="1"/>
    <col min="4358" max="4358" width="11.375" style="3" customWidth="1"/>
    <col min="4359" max="4359" width="10.75" style="3" customWidth="1"/>
    <col min="4360" max="4360" width="9.25" style="3" customWidth="1"/>
    <col min="4361" max="4361" width="13.5" style="3" customWidth="1"/>
    <col min="4362" max="4362" width="5.375" style="3" customWidth="1"/>
    <col min="4363" max="4607" width="9" style="3"/>
    <col min="4608" max="4608" width="14.75" style="3" customWidth="1"/>
    <col min="4609" max="4609" width="26" style="3" customWidth="1"/>
    <col min="4610" max="4610" width="15.125" style="3" customWidth="1"/>
    <col min="4611" max="4611" width="15.375" style="3" customWidth="1"/>
    <col min="4612" max="4612" width="12.375" style="3" customWidth="1"/>
    <col min="4613" max="4613" width="10.875" style="3" customWidth="1"/>
    <col min="4614" max="4614" width="11.375" style="3" customWidth="1"/>
    <col min="4615" max="4615" width="10.75" style="3" customWidth="1"/>
    <col min="4616" max="4616" width="9.25" style="3" customWidth="1"/>
    <col min="4617" max="4617" width="13.5" style="3" customWidth="1"/>
    <col min="4618" max="4618" width="5.375" style="3" customWidth="1"/>
    <col min="4619" max="4863" width="9" style="3"/>
    <col min="4864" max="4864" width="14.75" style="3" customWidth="1"/>
    <col min="4865" max="4865" width="26" style="3" customWidth="1"/>
    <col min="4866" max="4866" width="15.125" style="3" customWidth="1"/>
    <col min="4867" max="4867" width="15.375" style="3" customWidth="1"/>
    <col min="4868" max="4868" width="12.375" style="3" customWidth="1"/>
    <col min="4869" max="4869" width="10.875" style="3" customWidth="1"/>
    <col min="4870" max="4870" width="11.375" style="3" customWidth="1"/>
    <col min="4871" max="4871" width="10.75" style="3" customWidth="1"/>
    <col min="4872" max="4872" width="9.25" style="3" customWidth="1"/>
    <col min="4873" max="4873" width="13.5" style="3" customWidth="1"/>
    <col min="4874" max="4874" width="5.375" style="3" customWidth="1"/>
    <col min="4875" max="5119" width="9" style="3"/>
    <col min="5120" max="5120" width="14.75" style="3" customWidth="1"/>
    <col min="5121" max="5121" width="26" style="3" customWidth="1"/>
    <col min="5122" max="5122" width="15.125" style="3" customWidth="1"/>
    <col min="5123" max="5123" width="15.375" style="3" customWidth="1"/>
    <col min="5124" max="5124" width="12.375" style="3" customWidth="1"/>
    <col min="5125" max="5125" width="10.875" style="3" customWidth="1"/>
    <col min="5126" max="5126" width="11.375" style="3" customWidth="1"/>
    <col min="5127" max="5127" width="10.75" style="3" customWidth="1"/>
    <col min="5128" max="5128" width="9.25" style="3" customWidth="1"/>
    <col min="5129" max="5129" width="13.5" style="3" customWidth="1"/>
    <col min="5130" max="5130" width="5.375" style="3" customWidth="1"/>
    <col min="5131" max="5375" width="9" style="3"/>
    <col min="5376" max="5376" width="14.75" style="3" customWidth="1"/>
    <col min="5377" max="5377" width="26" style="3" customWidth="1"/>
    <col min="5378" max="5378" width="15.125" style="3" customWidth="1"/>
    <col min="5379" max="5379" width="15.375" style="3" customWidth="1"/>
    <col min="5380" max="5380" width="12.375" style="3" customWidth="1"/>
    <col min="5381" max="5381" width="10.875" style="3" customWidth="1"/>
    <col min="5382" max="5382" width="11.375" style="3" customWidth="1"/>
    <col min="5383" max="5383" width="10.75" style="3" customWidth="1"/>
    <col min="5384" max="5384" width="9.25" style="3" customWidth="1"/>
    <col min="5385" max="5385" width="13.5" style="3" customWidth="1"/>
    <col min="5386" max="5386" width="5.375" style="3" customWidth="1"/>
    <col min="5387" max="5631" width="9" style="3"/>
    <col min="5632" max="5632" width="14.75" style="3" customWidth="1"/>
    <col min="5633" max="5633" width="26" style="3" customWidth="1"/>
    <col min="5634" max="5634" width="15.125" style="3" customWidth="1"/>
    <col min="5635" max="5635" width="15.375" style="3" customWidth="1"/>
    <col min="5636" max="5636" width="12.375" style="3" customWidth="1"/>
    <col min="5637" max="5637" width="10.875" style="3" customWidth="1"/>
    <col min="5638" max="5638" width="11.375" style="3" customWidth="1"/>
    <col min="5639" max="5639" width="10.75" style="3" customWidth="1"/>
    <col min="5640" max="5640" width="9.25" style="3" customWidth="1"/>
    <col min="5641" max="5641" width="13.5" style="3" customWidth="1"/>
    <col min="5642" max="5642" width="5.375" style="3" customWidth="1"/>
    <col min="5643" max="5887" width="9" style="3"/>
    <col min="5888" max="5888" width="14.75" style="3" customWidth="1"/>
    <col min="5889" max="5889" width="26" style="3" customWidth="1"/>
    <col min="5890" max="5890" width="15.125" style="3" customWidth="1"/>
    <col min="5891" max="5891" width="15.375" style="3" customWidth="1"/>
    <col min="5892" max="5892" width="12.375" style="3" customWidth="1"/>
    <col min="5893" max="5893" width="10.875" style="3" customWidth="1"/>
    <col min="5894" max="5894" width="11.375" style="3" customWidth="1"/>
    <col min="5895" max="5895" width="10.75" style="3" customWidth="1"/>
    <col min="5896" max="5896" width="9.25" style="3" customWidth="1"/>
    <col min="5897" max="5897" width="13.5" style="3" customWidth="1"/>
    <col min="5898" max="5898" width="5.375" style="3" customWidth="1"/>
    <col min="5899" max="6143" width="9" style="3"/>
    <col min="6144" max="6144" width="14.75" style="3" customWidth="1"/>
    <col min="6145" max="6145" width="26" style="3" customWidth="1"/>
    <col min="6146" max="6146" width="15.125" style="3" customWidth="1"/>
    <col min="6147" max="6147" width="15.375" style="3" customWidth="1"/>
    <col min="6148" max="6148" width="12.375" style="3" customWidth="1"/>
    <col min="6149" max="6149" width="10.875" style="3" customWidth="1"/>
    <col min="6150" max="6150" width="11.375" style="3" customWidth="1"/>
    <col min="6151" max="6151" width="10.75" style="3" customWidth="1"/>
    <col min="6152" max="6152" width="9.25" style="3" customWidth="1"/>
    <col min="6153" max="6153" width="13.5" style="3" customWidth="1"/>
    <col min="6154" max="6154" width="5.375" style="3" customWidth="1"/>
    <col min="6155" max="6399" width="9" style="3"/>
    <col min="6400" max="6400" width="14.75" style="3" customWidth="1"/>
    <col min="6401" max="6401" width="26" style="3" customWidth="1"/>
    <col min="6402" max="6402" width="15.125" style="3" customWidth="1"/>
    <col min="6403" max="6403" width="15.375" style="3" customWidth="1"/>
    <col min="6404" max="6404" width="12.375" style="3" customWidth="1"/>
    <col min="6405" max="6405" width="10.875" style="3" customWidth="1"/>
    <col min="6406" max="6406" width="11.375" style="3" customWidth="1"/>
    <col min="6407" max="6407" width="10.75" style="3" customWidth="1"/>
    <col min="6408" max="6408" width="9.25" style="3" customWidth="1"/>
    <col min="6409" max="6409" width="13.5" style="3" customWidth="1"/>
    <col min="6410" max="6410" width="5.375" style="3" customWidth="1"/>
    <col min="6411" max="6655" width="9" style="3"/>
    <col min="6656" max="6656" width="14.75" style="3" customWidth="1"/>
    <col min="6657" max="6657" width="26" style="3" customWidth="1"/>
    <col min="6658" max="6658" width="15.125" style="3" customWidth="1"/>
    <col min="6659" max="6659" width="15.375" style="3" customWidth="1"/>
    <col min="6660" max="6660" width="12.375" style="3" customWidth="1"/>
    <col min="6661" max="6661" width="10.875" style="3" customWidth="1"/>
    <col min="6662" max="6662" width="11.375" style="3" customWidth="1"/>
    <col min="6663" max="6663" width="10.75" style="3" customWidth="1"/>
    <col min="6664" max="6664" width="9.25" style="3" customWidth="1"/>
    <col min="6665" max="6665" width="13.5" style="3" customWidth="1"/>
    <col min="6666" max="6666" width="5.375" style="3" customWidth="1"/>
    <col min="6667" max="6911" width="9" style="3"/>
    <col min="6912" max="6912" width="14.75" style="3" customWidth="1"/>
    <col min="6913" max="6913" width="26" style="3" customWidth="1"/>
    <col min="6914" max="6914" width="15.125" style="3" customWidth="1"/>
    <col min="6915" max="6915" width="15.375" style="3" customWidth="1"/>
    <col min="6916" max="6916" width="12.375" style="3" customWidth="1"/>
    <col min="6917" max="6917" width="10.875" style="3" customWidth="1"/>
    <col min="6918" max="6918" width="11.375" style="3" customWidth="1"/>
    <col min="6919" max="6919" width="10.75" style="3" customWidth="1"/>
    <col min="6920" max="6920" width="9.25" style="3" customWidth="1"/>
    <col min="6921" max="6921" width="13.5" style="3" customWidth="1"/>
    <col min="6922" max="6922" width="5.375" style="3" customWidth="1"/>
    <col min="6923" max="7167" width="9" style="3"/>
    <col min="7168" max="7168" width="14.75" style="3" customWidth="1"/>
    <col min="7169" max="7169" width="26" style="3" customWidth="1"/>
    <col min="7170" max="7170" width="15.125" style="3" customWidth="1"/>
    <col min="7171" max="7171" width="15.375" style="3" customWidth="1"/>
    <col min="7172" max="7172" width="12.375" style="3" customWidth="1"/>
    <col min="7173" max="7173" width="10.875" style="3" customWidth="1"/>
    <col min="7174" max="7174" width="11.375" style="3" customWidth="1"/>
    <col min="7175" max="7175" width="10.75" style="3" customWidth="1"/>
    <col min="7176" max="7176" width="9.25" style="3" customWidth="1"/>
    <col min="7177" max="7177" width="13.5" style="3" customWidth="1"/>
    <col min="7178" max="7178" width="5.375" style="3" customWidth="1"/>
    <col min="7179" max="7423" width="9" style="3"/>
    <col min="7424" max="7424" width="14.75" style="3" customWidth="1"/>
    <col min="7425" max="7425" width="26" style="3" customWidth="1"/>
    <col min="7426" max="7426" width="15.125" style="3" customWidth="1"/>
    <col min="7427" max="7427" width="15.375" style="3" customWidth="1"/>
    <col min="7428" max="7428" width="12.375" style="3" customWidth="1"/>
    <col min="7429" max="7429" width="10.875" style="3" customWidth="1"/>
    <col min="7430" max="7430" width="11.375" style="3" customWidth="1"/>
    <col min="7431" max="7431" width="10.75" style="3" customWidth="1"/>
    <col min="7432" max="7432" width="9.25" style="3" customWidth="1"/>
    <col min="7433" max="7433" width="13.5" style="3" customWidth="1"/>
    <col min="7434" max="7434" width="5.375" style="3" customWidth="1"/>
    <col min="7435" max="7679" width="9" style="3"/>
    <col min="7680" max="7680" width="14.75" style="3" customWidth="1"/>
    <col min="7681" max="7681" width="26" style="3" customWidth="1"/>
    <col min="7682" max="7682" width="15.125" style="3" customWidth="1"/>
    <col min="7683" max="7683" width="15.375" style="3" customWidth="1"/>
    <col min="7684" max="7684" width="12.375" style="3" customWidth="1"/>
    <col min="7685" max="7685" width="10.875" style="3" customWidth="1"/>
    <col min="7686" max="7686" width="11.375" style="3" customWidth="1"/>
    <col min="7687" max="7687" width="10.75" style="3" customWidth="1"/>
    <col min="7688" max="7688" width="9.25" style="3" customWidth="1"/>
    <col min="7689" max="7689" width="13.5" style="3" customWidth="1"/>
    <col min="7690" max="7690" width="5.375" style="3" customWidth="1"/>
    <col min="7691" max="7935" width="9" style="3"/>
    <col min="7936" max="7936" width="14.75" style="3" customWidth="1"/>
    <col min="7937" max="7937" width="26" style="3" customWidth="1"/>
    <col min="7938" max="7938" width="15.125" style="3" customWidth="1"/>
    <col min="7939" max="7939" width="15.375" style="3" customWidth="1"/>
    <col min="7940" max="7940" width="12.375" style="3" customWidth="1"/>
    <col min="7941" max="7941" width="10.875" style="3" customWidth="1"/>
    <col min="7942" max="7942" width="11.375" style="3" customWidth="1"/>
    <col min="7943" max="7943" width="10.75" style="3" customWidth="1"/>
    <col min="7944" max="7944" width="9.25" style="3" customWidth="1"/>
    <col min="7945" max="7945" width="13.5" style="3" customWidth="1"/>
    <col min="7946" max="7946" width="5.375" style="3" customWidth="1"/>
    <col min="7947" max="8191" width="9" style="3"/>
    <col min="8192" max="8192" width="14.75" style="3" customWidth="1"/>
    <col min="8193" max="8193" width="26" style="3" customWidth="1"/>
    <col min="8194" max="8194" width="15.125" style="3" customWidth="1"/>
    <col min="8195" max="8195" width="15.375" style="3" customWidth="1"/>
    <col min="8196" max="8196" width="12.375" style="3" customWidth="1"/>
    <col min="8197" max="8197" width="10.875" style="3" customWidth="1"/>
    <col min="8198" max="8198" width="11.375" style="3" customWidth="1"/>
    <col min="8199" max="8199" width="10.75" style="3" customWidth="1"/>
    <col min="8200" max="8200" width="9.25" style="3" customWidth="1"/>
    <col min="8201" max="8201" width="13.5" style="3" customWidth="1"/>
    <col min="8202" max="8202" width="5.375" style="3" customWidth="1"/>
    <col min="8203" max="8447" width="9" style="3"/>
    <col min="8448" max="8448" width="14.75" style="3" customWidth="1"/>
    <col min="8449" max="8449" width="26" style="3" customWidth="1"/>
    <col min="8450" max="8450" width="15.125" style="3" customWidth="1"/>
    <col min="8451" max="8451" width="15.375" style="3" customWidth="1"/>
    <col min="8452" max="8452" width="12.375" style="3" customWidth="1"/>
    <col min="8453" max="8453" width="10.875" style="3" customWidth="1"/>
    <col min="8454" max="8454" width="11.375" style="3" customWidth="1"/>
    <col min="8455" max="8455" width="10.75" style="3" customWidth="1"/>
    <col min="8456" max="8456" width="9.25" style="3" customWidth="1"/>
    <col min="8457" max="8457" width="13.5" style="3" customWidth="1"/>
    <col min="8458" max="8458" width="5.375" style="3" customWidth="1"/>
    <col min="8459" max="8703" width="9" style="3"/>
    <col min="8704" max="8704" width="14.75" style="3" customWidth="1"/>
    <col min="8705" max="8705" width="26" style="3" customWidth="1"/>
    <col min="8706" max="8706" width="15.125" style="3" customWidth="1"/>
    <col min="8707" max="8707" width="15.375" style="3" customWidth="1"/>
    <col min="8708" max="8708" width="12.375" style="3" customWidth="1"/>
    <col min="8709" max="8709" width="10.875" style="3" customWidth="1"/>
    <col min="8710" max="8710" width="11.375" style="3" customWidth="1"/>
    <col min="8711" max="8711" width="10.75" style="3" customWidth="1"/>
    <col min="8712" max="8712" width="9.25" style="3" customWidth="1"/>
    <col min="8713" max="8713" width="13.5" style="3" customWidth="1"/>
    <col min="8714" max="8714" width="5.375" style="3" customWidth="1"/>
    <col min="8715" max="8959" width="9" style="3"/>
    <col min="8960" max="8960" width="14.75" style="3" customWidth="1"/>
    <col min="8961" max="8961" width="26" style="3" customWidth="1"/>
    <col min="8962" max="8962" width="15.125" style="3" customWidth="1"/>
    <col min="8963" max="8963" width="15.375" style="3" customWidth="1"/>
    <col min="8964" max="8964" width="12.375" style="3" customWidth="1"/>
    <col min="8965" max="8965" width="10.875" style="3" customWidth="1"/>
    <col min="8966" max="8966" width="11.375" style="3" customWidth="1"/>
    <col min="8967" max="8967" width="10.75" style="3" customWidth="1"/>
    <col min="8968" max="8968" width="9.25" style="3" customWidth="1"/>
    <col min="8969" max="8969" width="13.5" style="3" customWidth="1"/>
    <col min="8970" max="8970" width="5.375" style="3" customWidth="1"/>
    <col min="8971" max="9215" width="9" style="3"/>
    <col min="9216" max="9216" width="14.75" style="3" customWidth="1"/>
    <col min="9217" max="9217" width="26" style="3" customWidth="1"/>
    <col min="9218" max="9218" width="15.125" style="3" customWidth="1"/>
    <col min="9219" max="9219" width="15.375" style="3" customWidth="1"/>
    <col min="9220" max="9220" width="12.375" style="3" customWidth="1"/>
    <col min="9221" max="9221" width="10.875" style="3" customWidth="1"/>
    <col min="9222" max="9222" width="11.375" style="3" customWidth="1"/>
    <col min="9223" max="9223" width="10.75" style="3" customWidth="1"/>
    <col min="9224" max="9224" width="9.25" style="3" customWidth="1"/>
    <col min="9225" max="9225" width="13.5" style="3" customWidth="1"/>
    <col min="9226" max="9226" width="5.375" style="3" customWidth="1"/>
    <col min="9227" max="9471" width="9" style="3"/>
    <col min="9472" max="9472" width="14.75" style="3" customWidth="1"/>
    <col min="9473" max="9473" width="26" style="3" customWidth="1"/>
    <col min="9474" max="9474" width="15.125" style="3" customWidth="1"/>
    <col min="9475" max="9475" width="15.375" style="3" customWidth="1"/>
    <col min="9476" max="9476" width="12.375" style="3" customWidth="1"/>
    <col min="9477" max="9477" width="10.875" style="3" customWidth="1"/>
    <col min="9478" max="9478" width="11.375" style="3" customWidth="1"/>
    <col min="9479" max="9479" width="10.75" style="3" customWidth="1"/>
    <col min="9480" max="9480" width="9.25" style="3" customWidth="1"/>
    <col min="9481" max="9481" width="13.5" style="3" customWidth="1"/>
    <col min="9482" max="9482" width="5.375" style="3" customWidth="1"/>
    <col min="9483" max="9727" width="9" style="3"/>
    <col min="9728" max="9728" width="14.75" style="3" customWidth="1"/>
    <col min="9729" max="9729" width="26" style="3" customWidth="1"/>
    <col min="9730" max="9730" width="15.125" style="3" customWidth="1"/>
    <col min="9731" max="9731" width="15.375" style="3" customWidth="1"/>
    <col min="9732" max="9732" width="12.375" style="3" customWidth="1"/>
    <col min="9733" max="9733" width="10.875" style="3" customWidth="1"/>
    <col min="9734" max="9734" width="11.375" style="3" customWidth="1"/>
    <col min="9735" max="9735" width="10.75" style="3" customWidth="1"/>
    <col min="9736" max="9736" width="9.25" style="3" customWidth="1"/>
    <col min="9737" max="9737" width="13.5" style="3" customWidth="1"/>
    <col min="9738" max="9738" width="5.375" style="3" customWidth="1"/>
    <col min="9739" max="9983" width="9" style="3"/>
    <col min="9984" max="9984" width="14.75" style="3" customWidth="1"/>
    <col min="9985" max="9985" width="26" style="3" customWidth="1"/>
    <col min="9986" max="9986" width="15.125" style="3" customWidth="1"/>
    <col min="9987" max="9987" width="15.375" style="3" customWidth="1"/>
    <col min="9988" max="9988" width="12.375" style="3" customWidth="1"/>
    <col min="9989" max="9989" width="10.875" style="3" customWidth="1"/>
    <col min="9990" max="9990" width="11.375" style="3" customWidth="1"/>
    <col min="9991" max="9991" width="10.75" style="3" customWidth="1"/>
    <col min="9992" max="9992" width="9.25" style="3" customWidth="1"/>
    <col min="9993" max="9993" width="13.5" style="3" customWidth="1"/>
    <col min="9994" max="9994" width="5.375" style="3" customWidth="1"/>
    <col min="9995" max="10239" width="9" style="3"/>
    <col min="10240" max="10240" width="14.75" style="3" customWidth="1"/>
    <col min="10241" max="10241" width="26" style="3" customWidth="1"/>
    <col min="10242" max="10242" width="15.125" style="3" customWidth="1"/>
    <col min="10243" max="10243" width="15.375" style="3" customWidth="1"/>
    <col min="10244" max="10244" width="12.375" style="3" customWidth="1"/>
    <col min="10245" max="10245" width="10.875" style="3" customWidth="1"/>
    <col min="10246" max="10246" width="11.375" style="3" customWidth="1"/>
    <col min="10247" max="10247" width="10.75" style="3" customWidth="1"/>
    <col min="10248" max="10248" width="9.25" style="3" customWidth="1"/>
    <col min="10249" max="10249" width="13.5" style="3" customWidth="1"/>
    <col min="10250" max="10250" width="5.375" style="3" customWidth="1"/>
    <col min="10251" max="10495" width="9" style="3"/>
    <col min="10496" max="10496" width="14.75" style="3" customWidth="1"/>
    <col min="10497" max="10497" width="26" style="3" customWidth="1"/>
    <col min="10498" max="10498" width="15.125" style="3" customWidth="1"/>
    <col min="10499" max="10499" width="15.375" style="3" customWidth="1"/>
    <col min="10500" max="10500" width="12.375" style="3" customWidth="1"/>
    <col min="10501" max="10501" width="10.875" style="3" customWidth="1"/>
    <col min="10502" max="10502" width="11.375" style="3" customWidth="1"/>
    <col min="10503" max="10503" width="10.75" style="3" customWidth="1"/>
    <col min="10504" max="10504" width="9.25" style="3" customWidth="1"/>
    <col min="10505" max="10505" width="13.5" style="3" customWidth="1"/>
    <col min="10506" max="10506" width="5.375" style="3" customWidth="1"/>
    <col min="10507" max="10751" width="9" style="3"/>
    <col min="10752" max="10752" width="14.75" style="3" customWidth="1"/>
    <col min="10753" max="10753" width="26" style="3" customWidth="1"/>
    <col min="10754" max="10754" width="15.125" style="3" customWidth="1"/>
    <col min="10755" max="10755" width="15.375" style="3" customWidth="1"/>
    <col min="10756" max="10756" width="12.375" style="3" customWidth="1"/>
    <col min="10757" max="10757" width="10.875" style="3" customWidth="1"/>
    <col min="10758" max="10758" width="11.375" style="3" customWidth="1"/>
    <col min="10759" max="10759" width="10.75" style="3" customWidth="1"/>
    <col min="10760" max="10760" width="9.25" style="3" customWidth="1"/>
    <col min="10761" max="10761" width="13.5" style="3" customWidth="1"/>
    <col min="10762" max="10762" width="5.375" style="3" customWidth="1"/>
    <col min="10763" max="11007" width="9" style="3"/>
    <col min="11008" max="11008" width="14.75" style="3" customWidth="1"/>
    <col min="11009" max="11009" width="26" style="3" customWidth="1"/>
    <col min="11010" max="11010" width="15.125" style="3" customWidth="1"/>
    <col min="11011" max="11011" width="15.375" style="3" customWidth="1"/>
    <col min="11012" max="11012" width="12.375" style="3" customWidth="1"/>
    <col min="11013" max="11013" width="10.875" style="3" customWidth="1"/>
    <col min="11014" max="11014" width="11.375" style="3" customWidth="1"/>
    <col min="11015" max="11015" width="10.75" style="3" customWidth="1"/>
    <col min="11016" max="11016" width="9.25" style="3" customWidth="1"/>
    <col min="11017" max="11017" width="13.5" style="3" customWidth="1"/>
    <col min="11018" max="11018" width="5.375" style="3" customWidth="1"/>
    <col min="11019" max="11263" width="9" style="3"/>
    <col min="11264" max="11264" width="14.75" style="3" customWidth="1"/>
    <col min="11265" max="11265" width="26" style="3" customWidth="1"/>
    <col min="11266" max="11266" width="15.125" style="3" customWidth="1"/>
    <col min="11267" max="11267" width="15.375" style="3" customWidth="1"/>
    <col min="11268" max="11268" width="12.375" style="3" customWidth="1"/>
    <col min="11269" max="11269" width="10.875" style="3" customWidth="1"/>
    <col min="11270" max="11270" width="11.375" style="3" customWidth="1"/>
    <col min="11271" max="11271" width="10.75" style="3" customWidth="1"/>
    <col min="11272" max="11272" width="9.25" style="3" customWidth="1"/>
    <col min="11273" max="11273" width="13.5" style="3" customWidth="1"/>
    <col min="11274" max="11274" width="5.375" style="3" customWidth="1"/>
    <col min="11275" max="11519" width="9" style="3"/>
    <col min="11520" max="11520" width="14.75" style="3" customWidth="1"/>
    <col min="11521" max="11521" width="26" style="3" customWidth="1"/>
    <col min="11522" max="11522" width="15.125" style="3" customWidth="1"/>
    <col min="11523" max="11523" width="15.375" style="3" customWidth="1"/>
    <col min="11524" max="11524" width="12.375" style="3" customWidth="1"/>
    <col min="11525" max="11525" width="10.875" style="3" customWidth="1"/>
    <col min="11526" max="11526" width="11.375" style="3" customWidth="1"/>
    <col min="11527" max="11527" width="10.75" style="3" customWidth="1"/>
    <col min="11528" max="11528" width="9.25" style="3" customWidth="1"/>
    <col min="11529" max="11529" width="13.5" style="3" customWidth="1"/>
    <col min="11530" max="11530" width="5.375" style="3" customWidth="1"/>
    <col min="11531" max="11775" width="9" style="3"/>
    <col min="11776" max="11776" width="14.75" style="3" customWidth="1"/>
    <col min="11777" max="11777" width="26" style="3" customWidth="1"/>
    <col min="11778" max="11778" width="15.125" style="3" customWidth="1"/>
    <col min="11779" max="11779" width="15.375" style="3" customWidth="1"/>
    <col min="11780" max="11780" width="12.375" style="3" customWidth="1"/>
    <col min="11781" max="11781" width="10.875" style="3" customWidth="1"/>
    <col min="11782" max="11782" width="11.375" style="3" customWidth="1"/>
    <col min="11783" max="11783" width="10.75" style="3" customWidth="1"/>
    <col min="11784" max="11784" width="9.25" style="3" customWidth="1"/>
    <col min="11785" max="11785" width="13.5" style="3" customWidth="1"/>
    <col min="11786" max="11786" width="5.375" style="3" customWidth="1"/>
    <col min="11787" max="12031" width="9" style="3"/>
    <col min="12032" max="12032" width="14.75" style="3" customWidth="1"/>
    <col min="12033" max="12033" width="26" style="3" customWidth="1"/>
    <col min="12034" max="12034" width="15.125" style="3" customWidth="1"/>
    <col min="12035" max="12035" width="15.375" style="3" customWidth="1"/>
    <col min="12036" max="12036" width="12.375" style="3" customWidth="1"/>
    <col min="12037" max="12037" width="10.875" style="3" customWidth="1"/>
    <col min="12038" max="12038" width="11.375" style="3" customWidth="1"/>
    <col min="12039" max="12039" width="10.75" style="3" customWidth="1"/>
    <col min="12040" max="12040" width="9.25" style="3" customWidth="1"/>
    <col min="12041" max="12041" width="13.5" style="3" customWidth="1"/>
    <col min="12042" max="12042" width="5.375" style="3" customWidth="1"/>
    <col min="12043" max="12287" width="9" style="3"/>
    <col min="12288" max="12288" width="14.75" style="3" customWidth="1"/>
    <col min="12289" max="12289" width="26" style="3" customWidth="1"/>
    <col min="12290" max="12290" width="15.125" style="3" customWidth="1"/>
    <col min="12291" max="12291" width="15.375" style="3" customWidth="1"/>
    <col min="12292" max="12292" width="12.375" style="3" customWidth="1"/>
    <col min="12293" max="12293" width="10.875" style="3" customWidth="1"/>
    <col min="12294" max="12294" width="11.375" style="3" customWidth="1"/>
    <col min="12295" max="12295" width="10.75" style="3" customWidth="1"/>
    <col min="12296" max="12296" width="9.25" style="3" customWidth="1"/>
    <col min="12297" max="12297" width="13.5" style="3" customWidth="1"/>
    <col min="12298" max="12298" width="5.375" style="3" customWidth="1"/>
    <col min="12299" max="12543" width="9" style="3"/>
    <col min="12544" max="12544" width="14.75" style="3" customWidth="1"/>
    <col min="12545" max="12545" width="26" style="3" customWidth="1"/>
    <col min="12546" max="12546" width="15.125" style="3" customWidth="1"/>
    <col min="12547" max="12547" width="15.375" style="3" customWidth="1"/>
    <col min="12548" max="12548" width="12.375" style="3" customWidth="1"/>
    <col min="12549" max="12549" width="10.875" style="3" customWidth="1"/>
    <col min="12550" max="12550" width="11.375" style="3" customWidth="1"/>
    <col min="12551" max="12551" width="10.75" style="3" customWidth="1"/>
    <col min="12552" max="12552" width="9.25" style="3" customWidth="1"/>
    <col min="12553" max="12553" width="13.5" style="3" customWidth="1"/>
    <col min="12554" max="12554" width="5.375" style="3" customWidth="1"/>
    <col min="12555" max="12799" width="9" style="3"/>
    <col min="12800" max="12800" width="14.75" style="3" customWidth="1"/>
    <col min="12801" max="12801" width="26" style="3" customWidth="1"/>
    <col min="12802" max="12802" width="15.125" style="3" customWidth="1"/>
    <col min="12803" max="12803" width="15.375" style="3" customWidth="1"/>
    <col min="12804" max="12804" width="12.375" style="3" customWidth="1"/>
    <col min="12805" max="12805" width="10.875" style="3" customWidth="1"/>
    <col min="12806" max="12806" width="11.375" style="3" customWidth="1"/>
    <col min="12807" max="12807" width="10.75" style="3" customWidth="1"/>
    <col min="12808" max="12808" width="9.25" style="3" customWidth="1"/>
    <col min="12809" max="12809" width="13.5" style="3" customWidth="1"/>
    <col min="12810" max="12810" width="5.375" style="3" customWidth="1"/>
    <col min="12811" max="13055" width="9" style="3"/>
    <col min="13056" max="13056" width="14.75" style="3" customWidth="1"/>
    <col min="13057" max="13057" width="26" style="3" customWidth="1"/>
    <col min="13058" max="13058" width="15.125" style="3" customWidth="1"/>
    <col min="13059" max="13059" width="15.375" style="3" customWidth="1"/>
    <col min="13060" max="13060" width="12.375" style="3" customWidth="1"/>
    <col min="13061" max="13061" width="10.875" style="3" customWidth="1"/>
    <col min="13062" max="13062" width="11.375" style="3" customWidth="1"/>
    <col min="13063" max="13063" width="10.75" style="3" customWidth="1"/>
    <col min="13064" max="13064" width="9.25" style="3" customWidth="1"/>
    <col min="13065" max="13065" width="13.5" style="3" customWidth="1"/>
    <col min="13066" max="13066" width="5.375" style="3" customWidth="1"/>
    <col min="13067" max="13311" width="9" style="3"/>
    <col min="13312" max="13312" width="14.75" style="3" customWidth="1"/>
    <col min="13313" max="13313" width="26" style="3" customWidth="1"/>
    <col min="13314" max="13314" width="15.125" style="3" customWidth="1"/>
    <col min="13315" max="13315" width="15.375" style="3" customWidth="1"/>
    <col min="13316" max="13316" width="12.375" style="3" customWidth="1"/>
    <col min="13317" max="13317" width="10.875" style="3" customWidth="1"/>
    <col min="13318" max="13318" width="11.375" style="3" customWidth="1"/>
    <col min="13319" max="13319" width="10.75" style="3" customWidth="1"/>
    <col min="13320" max="13320" width="9.25" style="3" customWidth="1"/>
    <col min="13321" max="13321" width="13.5" style="3" customWidth="1"/>
    <col min="13322" max="13322" width="5.375" style="3" customWidth="1"/>
    <col min="13323" max="13567" width="9" style="3"/>
    <col min="13568" max="13568" width="14.75" style="3" customWidth="1"/>
    <col min="13569" max="13569" width="26" style="3" customWidth="1"/>
    <col min="13570" max="13570" width="15.125" style="3" customWidth="1"/>
    <col min="13571" max="13571" width="15.375" style="3" customWidth="1"/>
    <col min="13572" max="13572" width="12.375" style="3" customWidth="1"/>
    <col min="13573" max="13573" width="10.875" style="3" customWidth="1"/>
    <col min="13574" max="13574" width="11.375" style="3" customWidth="1"/>
    <col min="13575" max="13575" width="10.75" style="3" customWidth="1"/>
    <col min="13576" max="13576" width="9.25" style="3" customWidth="1"/>
    <col min="13577" max="13577" width="13.5" style="3" customWidth="1"/>
    <col min="13578" max="13578" width="5.375" style="3" customWidth="1"/>
    <col min="13579" max="13823" width="9" style="3"/>
    <col min="13824" max="13824" width="14.75" style="3" customWidth="1"/>
    <col min="13825" max="13825" width="26" style="3" customWidth="1"/>
    <col min="13826" max="13826" width="15.125" style="3" customWidth="1"/>
    <col min="13827" max="13827" width="15.375" style="3" customWidth="1"/>
    <col min="13828" max="13828" width="12.375" style="3" customWidth="1"/>
    <col min="13829" max="13829" width="10.875" style="3" customWidth="1"/>
    <col min="13830" max="13830" width="11.375" style="3" customWidth="1"/>
    <col min="13831" max="13831" width="10.75" style="3" customWidth="1"/>
    <col min="13832" max="13832" width="9.25" style="3" customWidth="1"/>
    <col min="13833" max="13833" width="13.5" style="3" customWidth="1"/>
    <col min="13834" max="13834" width="5.375" style="3" customWidth="1"/>
    <col min="13835" max="14079" width="9" style="3"/>
    <col min="14080" max="14080" width="14.75" style="3" customWidth="1"/>
    <col min="14081" max="14081" width="26" style="3" customWidth="1"/>
    <col min="14082" max="14082" width="15.125" style="3" customWidth="1"/>
    <col min="14083" max="14083" width="15.375" style="3" customWidth="1"/>
    <col min="14084" max="14084" width="12.375" style="3" customWidth="1"/>
    <col min="14085" max="14085" width="10.875" style="3" customWidth="1"/>
    <col min="14086" max="14086" width="11.375" style="3" customWidth="1"/>
    <col min="14087" max="14087" width="10.75" style="3" customWidth="1"/>
    <col min="14088" max="14088" width="9.25" style="3" customWidth="1"/>
    <col min="14089" max="14089" width="13.5" style="3" customWidth="1"/>
    <col min="14090" max="14090" width="5.375" style="3" customWidth="1"/>
    <col min="14091" max="14335" width="9" style="3"/>
    <col min="14336" max="14336" width="14.75" style="3" customWidth="1"/>
    <col min="14337" max="14337" width="26" style="3" customWidth="1"/>
    <col min="14338" max="14338" width="15.125" style="3" customWidth="1"/>
    <col min="14339" max="14339" width="15.375" style="3" customWidth="1"/>
    <col min="14340" max="14340" width="12.375" style="3" customWidth="1"/>
    <col min="14341" max="14341" width="10.875" style="3" customWidth="1"/>
    <col min="14342" max="14342" width="11.375" style="3" customWidth="1"/>
    <col min="14343" max="14343" width="10.75" style="3" customWidth="1"/>
    <col min="14344" max="14344" width="9.25" style="3" customWidth="1"/>
    <col min="14345" max="14345" width="13.5" style="3" customWidth="1"/>
    <col min="14346" max="14346" width="5.375" style="3" customWidth="1"/>
    <col min="14347" max="14591" width="9" style="3"/>
    <col min="14592" max="14592" width="14.75" style="3" customWidth="1"/>
    <col min="14593" max="14593" width="26" style="3" customWidth="1"/>
    <col min="14594" max="14594" width="15.125" style="3" customWidth="1"/>
    <col min="14595" max="14595" width="15.375" style="3" customWidth="1"/>
    <col min="14596" max="14596" width="12.375" style="3" customWidth="1"/>
    <col min="14597" max="14597" width="10.875" style="3" customWidth="1"/>
    <col min="14598" max="14598" width="11.375" style="3" customWidth="1"/>
    <col min="14599" max="14599" width="10.75" style="3" customWidth="1"/>
    <col min="14600" max="14600" width="9.25" style="3" customWidth="1"/>
    <col min="14601" max="14601" width="13.5" style="3" customWidth="1"/>
    <col min="14602" max="14602" width="5.375" style="3" customWidth="1"/>
    <col min="14603" max="14847" width="9" style="3"/>
    <col min="14848" max="14848" width="14.75" style="3" customWidth="1"/>
    <col min="14849" max="14849" width="26" style="3" customWidth="1"/>
    <col min="14850" max="14850" width="15.125" style="3" customWidth="1"/>
    <col min="14851" max="14851" width="15.375" style="3" customWidth="1"/>
    <col min="14852" max="14852" width="12.375" style="3" customWidth="1"/>
    <col min="14853" max="14853" width="10.875" style="3" customWidth="1"/>
    <col min="14854" max="14854" width="11.375" style="3" customWidth="1"/>
    <col min="14855" max="14855" width="10.75" style="3" customWidth="1"/>
    <col min="14856" max="14856" width="9.25" style="3" customWidth="1"/>
    <col min="14857" max="14857" width="13.5" style="3" customWidth="1"/>
    <col min="14858" max="14858" width="5.375" style="3" customWidth="1"/>
    <col min="14859" max="15103" width="9" style="3"/>
    <col min="15104" max="15104" width="14.75" style="3" customWidth="1"/>
    <col min="15105" max="15105" width="26" style="3" customWidth="1"/>
    <col min="15106" max="15106" width="15.125" style="3" customWidth="1"/>
    <col min="15107" max="15107" width="15.375" style="3" customWidth="1"/>
    <col min="15108" max="15108" width="12.375" style="3" customWidth="1"/>
    <col min="15109" max="15109" width="10.875" style="3" customWidth="1"/>
    <col min="15110" max="15110" width="11.375" style="3" customWidth="1"/>
    <col min="15111" max="15111" width="10.75" style="3" customWidth="1"/>
    <col min="15112" max="15112" width="9.25" style="3" customWidth="1"/>
    <col min="15113" max="15113" width="13.5" style="3" customWidth="1"/>
    <col min="15114" max="15114" width="5.375" style="3" customWidth="1"/>
    <col min="15115" max="15359" width="9" style="3"/>
    <col min="15360" max="15360" width="14.75" style="3" customWidth="1"/>
    <col min="15361" max="15361" width="26" style="3" customWidth="1"/>
    <col min="15362" max="15362" width="15.125" style="3" customWidth="1"/>
    <col min="15363" max="15363" width="15.375" style="3" customWidth="1"/>
    <col min="15364" max="15364" width="12.375" style="3" customWidth="1"/>
    <col min="15365" max="15365" width="10.875" style="3" customWidth="1"/>
    <col min="15366" max="15366" width="11.375" style="3" customWidth="1"/>
    <col min="15367" max="15367" width="10.75" style="3" customWidth="1"/>
    <col min="15368" max="15368" width="9.25" style="3" customWidth="1"/>
    <col min="15369" max="15369" width="13.5" style="3" customWidth="1"/>
    <col min="15370" max="15370" width="5.375" style="3" customWidth="1"/>
    <col min="15371" max="15615" width="9" style="3"/>
    <col min="15616" max="15616" width="14.75" style="3" customWidth="1"/>
    <col min="15617" max="15617" width="26" style="3" customWidth="1"/>
    <col min="15618" max="15618" width="15.125" style="3" customWidth="1"/>
    <col min="15619" max="15619" width="15.375" style="3" customWidth="1"/>
    <col min="15620" max="15620" width="12.375" style="3" customWidth="1"/>
    <col min="15621" max="15621" width="10.875" style="3" customWidth="1"/>
    <col min="15622" max="15622" width="11.375" style="3" customWidth="1"/>
    <col min="15623" max="15623" width="10.75" style="3" customWidth="1"/>
    <col min="15624" max="15624" width="9.25" style="3" customWidth="1"/>
    <col min="15625" max="15625" width="13.5" style="3" customWidth="1"/>
    <col min="15626" max="15626" width="5.375" style="3" customWidth="1"/>
    <col min="15627" max="15871" width="9" style="3"/>
    <col min="15872" max="15872" width="14.75" style="3" customWidth="1"/>
    <col min="15873" max="15873" width="26" style="3" customWidth="1"/>
    <col min="15874" max="15874" width="15.125" style="3" customWidth="1"/>
    <col min="15875" max="15875" width="15.375" style="3" customWidth="1"/>
    <col min="15876" max="15876" width="12.375" style="3" customWidth="1"/>
    <col min="15877" max="15877" width="10.875" style="3" customWidth="1"/>
    <col min="15878" max="15878" width="11.375" style="3" customWidth="1"/>
    <col min="15879" max="15879" width="10.75" style="3" customWidth="1"/>
    <col min="15880" max="15880" width="9.25" style="3" customWidth="1"/>
    <col min="15881" max="15881" width="13.5" style="3" customWidth="1"/>
    <col min="15882" max="15882" width="5.375" style="3" customWidth="1"/>
    <col min="15883" max="16127" width="9" style="3"/>
    <col min="16128" max="16128" width="14.75" style="3" customWidth="1"/>
    <col min="16129" max="16129" width="26" style="3" customWidth="1"/>
    <col min="16130" max="16130" width="15.125" style="3" customWidth="1"/>
    <col min="16131" max="16131" width="15.375" style="3" customWidth="1"/>
    <col min="16132" max="16132" width="12.375" style="3" customWidth="1"/>
    <col min="16133" max="16133" width="10.875" style="3" customWidth="1"/>
    <col min="16134" max="16134" width="11.375" style="3" customWidth="1"/>
    <col min="16135" max="16135" width="10.75" style="3" customWidth="1"/>
    <col min="16136" max="16136" width="9.25" style="3" customWidth="1"/>
    <col min="16137" max="16137" width="13.5" style="3" customWidth="1"/>
    <col min="16138" max="16138" width="5.375" style="3" customWidth="1"/>
    <col min="16139" max="16384" width="9" style="3"/>
  </cols>
  <sheetData>
    <row r="1" s="3" customFormat="1" ht="43" customHeight="1" spans="1:16">
      <c r="A1" s="5" t="s">
        <v>0</v>
      </c>
      <c r="B1" s="5"/>
      <c r="C1" s="5"/>
      <c r="D1" s="5"/>
      <c r="E1" s="5"/>
      <c r="F1" s="5"/>
      <c r="G1" s="6"/>
      <c r="H1" s="5"/>
      <c r="I1" s="5"/>
      <c r="J1" s="5"/>
      <c r="K1" s="5"/>
      <c r="L1" s="7"/>
      <c r="M1" s="7"/>
      <c r="N1" s="7"/>
      <c r="O1" s="7"/>
      <c r="P1" s="7"/>
    </row>
    <row r="2" s="3" customFormat="1" ht="34" customHeight="1" spans="1:16">
      <c r="A2" s="8" t="s">
        <v>1</v>
      </c>
      <c r="B2" s="8"/>
      <c r="C2" s="8"/>
      <c r="D2" s="8"/>
      <c r="E2" s="8"/>
      <c r="F2" s="8"/>
      <c r="G2" s="9"/>
      <c r="H2" s="8"/>
      <c r="I2" s="8"/>
      <c r="J2" s="8"/>
      <c r="K2" s="8"/>
      <c r="L2" s="10"/>
      <c r="M2" s="10"/>
      <c r="N2" s="10"/>
      <c r="O2" s="10"/>
      <c r="P2" s="10"/>
    </row>
    <row r="3" ht="15.75" spans="1:16">
      <c r="A3" s="11"/>
      <c r="B3" s="11"/>
      <c r="C3" s="11"/>
      <c r="D3" s="11"/>
      <c r="E3" s="11"/>
      <c r="F3" s="11"/>
      <c r="G3" s="12"/>
      <c r="H3" s="11"/>
      <c r="I3" s="11"/>
      <c r="J3" s="11"/>
    </row>
    <row r="4" ht="19.25" spans="1:16">
      <c r="A4" s="13"/>
      <c r="B4" s="13"/>
      <c r="C4" s="14"/>
      <c r="D4" s="14"/>
      <c r="F4" s="14"/>
      <c r="G4" s="15"/>
      <c r="H4" s="14"/>
      <c r="I4" s="14"/>
      <c r="J4" s="14"/>
      <c r="K4" s="76"/>
    </row>
    <row r="5" spans="1:16">
      <c r="C5" s="14"/>
      <c r="D5" s="14"/>
      <c r="E5" s="16"/>
      <c r="F5" s="14"/>
      <c r="G5" s="15"/>
      <c r="H5" s="14"/>
      <c r="I5" s="14"/>
      <c r="J5" s="14"/>
      <c r="K5" s="76"/>
    </row>
    <row r="6" ht="27.5" spans="1:16">
      <c r="A6" s="17" t="s">
        <v>2</v>
      </c>
      <c r="B6" s="17"/>
      <c r="C6" s="17"/>
      <c r="D6" s="17"/>
      <c r="E6" s="17"/>
      <c r="F6" s="17"/>
      <c r="G6" s="18"/>
      <c r="H6" s="17"/>
      <c r="I6" s="17"/>
      <c r="J6" s="17"/>
      <c r="K6" s="17"/>
      <c r="L6" s="20"/>
    </row>
    <row r="7" ht="27.5" spans="1:16">
      <c r="A7" s="17"/>
      <c r="B7" s="17"/>
      <c r="C7" s="21"/>
      <c r="D7" s="21"/>
      <c r="E7" s="21"/>
      <c r="F7" s="21"/>
      <c r="G7" s="22"/>
      <c r="H7" s="21"/>
      <c r="I7" s="21"/>
      <c r="J7" s="23"/>
      <c r="K7" s="77"/>
      <c r="L7" s="20"/>
    </row>
    <row r="8" ht="21" spans="1:16">
      <c r="A8" s="24"/>
      <c r="B8" s="24"/>
      <c r="C8" s="25"/>
      <c r="D8" s="25"/>
      <c r="E8" s="25"/>
      <c r="F8" s="25"/>
      <c r="G8" s="26"/>
      <c r="H8" s="20"/>
      <c r="I8" s="20"/>
      <c r="J8" s="20"/>
      <c r="K8" s="20"/>
      <c r="L8" s="20"/>
    </row>
    <row r="9" ht="21" spans="1:16">
      <c r="A9" s="27" t="s">
        <v>3</v>
      </c>
      <c r="B9" s="28" t="s">
        <v>0</v>
      </c>
      <c r="C9" s="28"/>
      <c r="D9" s="28"/>
      <c r="E9" s="29"/>
      <c r="F9" s="30"/>
      <c r="G9" s="78" t="s">
        <v>4</v>
      </c>
      <c r="H9" s="79"/>
      <c r="I9" s="80" t="s">
        <v>5</v>
      </c>
      <c r="J9" s="80"/>
      <c r="L9" s="20"/>
    </row>
    <row r="10" ht="21.75" spans="1:16">
      <c r="A10" s="27"/>
      <c r="B10" s="28" t="s">
        <v>6</v>
      </c>
      <c r="C10" s="28"/>
      <c r="D10" s="28"/>
      <c r="E10" s="29"/>
      <c r="F10" s="30"/>
      <c r="G10" s="81"/>
      <c r="H10" s="82"/>
      <c r="I10" s="32"/>
      <c r="J10" s="32"/>
      <c r="L10" s="20"/>
    </row>
    <row r="11" ht="21.75" spans="1:16">
      <c r="A11" s="27"/>
      <c r="B11" s="35" t="s">
        <v>7</v>
      </c>
      <c r="C11" s="35"/>
      <c r="D11" s="35"/>
      <c r="E11" s="29"/>
      <c r="G11" s="78" t="s">
        <v>8</v>
      </c>
      <c r="H11" s="79"/>
      <c r="I11" s="83">
        <v>46290</v>
      </c>
      <c r="J11" s="83"/>
      <c r="L11" s="20"/>
    </row>
    <row r="12" ht="21" spans="1:16">
      <c r="A12" s="27"/>
      <c r="B12" s="36"/>
      <c r="C12" s="36"/>
      <c r="D12" s="84"/>
      <c r="E12" s="20"/>
      <c r="F12" s="30"/>
      <c r="G12" s="85"/>
      <c r="H12" s="30"/>
      <c r="I12" s="24"/>
      <c r="J12" s="30"/>
      <c r="K12" s="30"/>
      <c r="L12" s="20"/>
    </row>
    <row r="13" ht="27" customHeight="1" spans="1:16">
      <c r="A13" s="30" t="s">
        <v>9</v>
      </c>
      <c r="B13" s="28" t="s">
        <v>10</v>
      </c>
      <c r="C13" s="28"/>
      <c r="D13" s="28"/>
      <c r="E13" s="29"/>
      <c r="L13" s="20"/>
    </row>
    <row r="14" ht="27" customHeight="1" spans="1:16">
      <c r="A14" s="30"/>
      <c r="B14" s="28" t="s">
        <v>11</v>
      </c>
      <c r="C14" s="28"/>
      <c r="D14" s="28"/>
      <c r="E14" s="29"/>
      <c r="L14" s="20"/>
    </row>
    <row r="15" ht="27" customHeight="1" spans="1:16">
      <c r="A15" s="30"/>
      <c r="B15" s="35" t="s">
        <v>12</v>
      </c>
      <c r="C15" s="35"/>
      <c r="D15" s="35"/>
      <c r="E15" s="29"/>
      <c r="F15" s="30"/>
      <c r="G15" s="85"/>
      <c r="H15" s="30"/>
      <c r="I15" s="30"/>
      <c r="J15" s="30"/>
      <c r="K15" s="24"/>
      <c r="L15" s="20"/>
    </row>
    <row r="16" ht="27" customHeight="1" spans="1:16">
      <c r="A16" s="30"/>
      <c r="B16" s="119" t="s">
        <v>13</v>
      </c>
      <c r="C16" s="86"/>
      <c r="D16" s="86"/>
      <c r="E16" s="27"/>
      <c r="F16" s="27"/>
      <c r="G16" s="87"/>
      <c r="H16" s="27"/>
      <c r="I16" s="27"/>
      <c r="J16" s="88"/>
      <c r="K16" s="88"/>
      <c r="L16" s="89"/>
    </row>
    <row r="17" ht="21" spans="1:14">
      <c r="A17" s="30"/>
      <c r="B17" s="30"/>
      <c r="C17" s="43"/>
      <c r="D17" s="43"/>
      <c r="E17" s="44"/>
      <c r="F17" s="20"/>
      <c r="G17" s="45"/>
      <c r="H17" s="30"/>
      <c r="I17" s="24"/>
      <c r="J17" s="44"/>
      <c r="K17" s="46"/>
      <c r="L17" s="20"/>
    </row>
    <row r="18" ht="21" customHeight="1" spans="1:14">
      <c r="A18" s="47" t="s">
        <v>14</v>
      </c>
      <c r="B18" s="47" t="s">
        <v>15</v>
      </c>
      <c r="C18" s="47" t="s">
        <v>16</v>
      </c>
      <c r="D18" s="48" t="s">
        <v>17</v>
      </c>
      <c r="E18" s="47" t="s">
        <v>18</v>
      </c>
      <c r="F18" s="49" t="s">
        <v>19</v>
      </c>
      <c r="G18" s="50" t="s">
        <v>20</v>
      </c>
      <c r="H18" s="47" t="s">
        <v>21</v>
      </c>
      <c r="I18" s="47" t="s">
        <v>22</v>
      </c>
      <c r="J18" s="47" t="s">
        <v>23</v>
      </c>
      <c r="K18" s="25"/>
    </row>
    <row r="19" ht="21" spans="1:14">
      <c r="A19" s="47"/>
      <c r="B19" s="47"/>
      <c r="C19" s="47"/>
      <c r="D19" s="48"/>
      <c r="E19" s="47" t="s">
        <v>24</v>
      </c>
      <c r="F19" s="49"/>
      <c r="G19" s="50" t="s">
        <v>25</v>
      </c>
      <c r="H19" s="47" t="s">
        <v>26</v>
      </c>
      <c r="I19" s="47" t="s">
        <v>27</v>
      </c>
      <c r="J19" s="47" t="s">
        <v>28</v>
      </c>
      <c r="K19" s="25"/>
    </row>
    <row r="20" ht="21" spans="1:14">
      <c r="A20" s="47"/>
      <c r="B20" s="47"/>
      <c r="C20" s="47"/>
      <c r="D20" s="48"/>
      <c r="E20" s="47"/>
      <c r="F20" s="49"/>
      <c r="G20" s="51"/>
      <c r="H20" s="47"/>
      <c r="I20" s="47" t="s">
        <v>26</v>
      </c>
      <c r="J20" s="47" t="s">
        <v>29</v>
      </c>
      <c r="K20" s="25"/>
    </row>
    <row r="21" s="3" customFormat="1" ht="44" customHeight="1" spans="1:14">
      <c r="A21" s="52" t="s">
        <v>30</v>
      </c>
      <c r="B21" s="52" t="s">
        <v>31</v>
      </c>
      <c r="C21" s="52" t="s">
        <v>32</v>
      </c>
      <c r="D21" s="52" t="s">
        <v>33</v>
      </c>
      <c r="E21" s="57">
        <v>1008</v>
      </c>
      <c r="F21" s="53">
        <v>0.1044</v>
      </c>
      <c r="G21" s="53">
        <v>4.3848</v>
      </c>
      <c r="H21" s="90">
        <v>6.66</v>
      </c>
      <c r="I21" s="90">
        <f t="shared" ref="I21:I31" si="0">H21*E21</f>
        <v>6713.28</v>
      </c>
      <c r="J21" s="52">
        <v>42</v>
      </c>
      <c r="K21" s="91"/>
      <c r="L21" s="92"/>
      <c r="M21" s="1"/>
      <c r="N21" s="1"/>
    </row>
    <row r="22" s="1" customFormat="1" ht="44" customHeight="1" spans="1:14">
      <c r="A22" s="52" t="s">
        <v>30</v>
      </c>
      <c r="B22" s="52" t="s">
        <v>34</v>
      </c>
      <c r="C22" s="52" t="s">
        <v>32</v>
      </c>
      <c r="D22" s="52" t="s">
        <v>35</v>
      </c>
      <c r="E22" s="57">
        <v>3768</v>
      </c>
      <c r="F22" s="53">
        <v>0.1044</v>
      </c>
      <c r="G22" s="53">
        <v>16.3908</v>
      </c>
      <c r="H22" s="90">
        <v>6.66</v>
      </c>
      <c r="I22" s="90">
        <f t="shared" si="0"/>
        <v>25094.88</v>
      </c>
      <c r="J22" s="52">
        <v>157</v>
      </c>
      <c r="K22" s="91"/>
      <c r="L22" s="92"/>
    </row>
    <row r="23" s="3" customFormat="1" ht="44" customHeight="1" spans="1:14">
      <c r="A23" s="52" t="s">
        <v>36</v>
      </c>
      <c r="B23" s="52" t="s">
        <v>37</v>
      </c>
      <c r="C23" s="52" t="s">
        <v>38</v>
      </c>
      <c r="D23" s="52" t="s">
        <v>39</v>
      </c>
      <c r="E23" s="57">
        <v>2190</v>
      </c>
      <c r="F23" s="53">
        <v>0.0516</v>
      </c>
      <c r="G23" s="53">
        <f>'[1]PACKING LIST  '!H15*'[1]PACKING LIST  '!I15*'[1]PACKING LIST  '!J15/1000000*'[1]PACKING LIST  '!G15</f>
        <v>7.5336</v>
      </c>
      <c r="H23" s="90">
        <v>3.43</v>
      </c>
      <c r="I23" s="90">
        <f t="shared" si="0"/>
        <v>7511.7</v>
      </c>
      <c r="J23" s="52">
        <v>146</v>
      </c>
      <c r="K23" s="91"/>
      <c r="L23" s="92"/>
      <c r="M23" s="1"/>
      <c r="N23" s="1"/>
    </row>
    <row r="24" s="3" customFormat="1" ht="44" customHeight="1" spans="1:14">
      <c r="A24" s="52" t="s">
        <v>36</v>
      </c>
      <c r="B24" s="52" t="s">
        <v>40</v>
      </c>
      <c r="C24" s="52" t="s">
        <v>38</v>
      </c>
      <c r="D24" s="52" t="s">
        <v>39</v>
      </c>
      <c r="E24" s="57">
        <v>6000</v>
      </c>
      <c r="F24" s="53">
        <v>0.0516</v>
      </c>
      <c r="G24" s="53">
        <f>'[1]PACKING LIST  '!H16*'[1]PACKING LIST  '!I16*'[1]PACKING LIST  '!J16/1000000*'[1]PACKING LIST  '!G16</f>
        <v>20.64</v>
      </c>
      <c r="H24" s="90">
        <v>3.43</v>
      </c>
      <c r="I24" s="90">
        <f t="shared" si="0"/>
        <v>20580</v>
      </c>
      <c r="J24" s="52">
        <v>400</v>
      </c>
      <c r="K24" s="91"/>
      <c r="L24" s="92"/>
      <c r="M24" s="1"/>
      <c r="N24" s="1"/>
    </row>
    <row r="25" s="3" customFormat="1" ht="44" customHeight="1" spans="1:14">
      <c r="A25" s="52" t="s">
        <v>36</v>
      </c>
      <c r="B25" s="52" t="s">
        <v>41</v>
      </c>
      <c r="C25" s="52" t="s">
        <v>42</v>
      </c>
      <c r="D25" s="52" t="s">
        <v>43</v>
      </c>
      <c r="E25" s="57">
        <v>200</v>
      </c>
      <c r="F25" s="53">
        <v>0.062604</v>
      </c>
      <c r="G25" s="53">
        <v>3.1302</v>
      </c>
      <c r="H25" s="90">
        <v>8.65</v>
      </c>
      <c r="I25" s="90">
        <f t="shared" si="0"/>
        <v>1730</v>
      </c>
      <c r="J25" s="52">
        <v>50</v>
      </c>
      <c r="K25" s="91"/>
      <c r="L25" s="92"/>
      <c r="M25" s="1"/>
      <c r="N25" s="1"/>
    </row>
    <row r="26" s="3" customFormat="1" ht="44" customHeight="1" spans="1:14">
      <c r="A26" s="52" t="s">
        <v>36</v>
      </c>
      <c r="B26" s="52" t="s">
        <v>44</v>
      </c>
      <c r="C26" s="52" t="s">
        <v>45</v>
      </c>
      <c r="D26" s="52" t="s">
        <v>46</v>
      </c>
      <c r="E26" s="57">
        <v>70</v>
      </c>
      <c r="F26" s="53">
        <v>0.022659</v>
      </c>
      <c r="G26" s="53">
        <v>1.58613</v>
      </c>
      <c r="H26" s="90">
        <v>16.92</v>
      </c>
      <c r="I26" s="90">
        <f t="shared" si="0"/>
        <v>1184.4</v>
      </c>
      <c r="J26" s="52">
        <v>70</v>
      </c>
      <c r="K26" s="91"/>
      <c r="L26" s="92"/>
      <c r="M26" s="1"/>
      <c r="N26" s="1"/>
    </row>
    <row r="27" s="1" customFormat="1" ht="44" customHeight="1" spans="1:14">
      <c r="A27" s="52" t="s">
        <v>36</v>
      </c>
      <c r="B27" s="52" t="s">
        <v>47</v>
      </c>
      <c r="C27" s="52" t="s">
        <v>45</v>
      </c>
      <c r="D27" s="52" t="s">
        <v>48</v>
      </c>
      <c r="E27" s="57">
        <v>52</v>
      </c>
      <c r="F27" s="53">
        <v>0.06204</v>
      </c>
      <c r="G27" s="53">
        <v>0.80652</v>
      </c>
      <c r="H27" s="90">
        <v>8.66</v>
      </c>
      <c r="I27" s="90">
        <f t="shared" si="0"/>
        <v>450.32</v>
      </c>
      <c r="J27" s="52">
        <v>13</v>
      </c>
      <c r="K27" s="91"/>
      <c r="L27" s="92"/>
    </row>
    <row r="28" s="1" customFormat="1" ht="44" customHeight="1" spans="1:14">
      <c r="A28" s="52" t="s">
        <v>36</v>
      </c>
      <c r="B28" s="52" t="s">
        <v>49</v>
      </c>
      <c r="C28" s="52" t="s">
        <v>45</v>
      </c>
      <c r="D28" s="52" t="s">
        <v>50</v>
      </c>
      <c r="E28" s="57">
        <v>200</v>
      </c>
      <c r="F28" s="53">
        <v>0.0342225</v>
      </c>
      <c r="G28" s="53">
        <v>6.8445</v>
      </c>
      <c r="H28" s="90">
        <v>21.97</v>
      </c>
      <c r="I28" s="90">
        <f t="shared" si="0"/>
        <v>4394</v>
      </c>
      <c r="J28" s="52">
        <v>200</v>
      </c>
      <c r="K28" s="91"/>
      <c r="L28" s="92"/>
    </row>
    <row r="29" s="3" customFormat="1" ht="44" customHeight="1" spans="1:14">
      <c r="A29" s="52" t="s">
        <v>36</v>
      </c>
      <c r="B29" s="52" t="s">
        <v>51</v>
      </c>
      <c r="C29" s="52" t="s">
        <v>45</v>
      </c>
      <c r="D29" s="52" t="s">
        <v>52</v>
      </c>
      <c r="E29" s="57">
        <v>50</v>
      </c>
      <c r="F29" s="53">
        <v>0.03378375</v>
      </c>
      <c r="G29" s="53">
        <v>1.6891875</v>
      </c>
      <c r="H29" s="90">
        <v>21.83</v>
      </c>
      <c r="I29" s="90">
        <f t="shared" si="0"/>
        <v>1091.5</v>
      </c>
      <c r="J29" s="52">
        <v>50</v>
      </c>
      <c r="K29" s="91"/>
      <c r="L29" s="92"/>
      <c r="M29" s="1"/>
      <c r="N29" s="1"/>
    </row>
    <row r="30" s="1" customFormat="1" ht="44" customHeight="1" spans="1:14">
      <c r="A30" s="52" t="s">
        <v>53</v>
      </c>
      <c r="B30" s="52" t="s">
        <v>54</v>
      </c>
      <c r="C30" s="52" t="s">
        <v>32</v>
      </c>
      <c r="D30" s="52" t="s">
        <v>33</v>
      </c>
      <c r="E30" s="57">
        <v>168</v>
      </c>
      <c r="F30" s="53">
        <v>0.1044</v>
      </c>
      <c r="G30" s="53">
        <v>0.7308</v>
      </c>
      <c r="H30" s="90">
        <v>6.66</v>
      </c>
      <c r="I30" s="90">
        <f t="shared" si="0"/>
        <v>1118.88</v>
      </c>
      <c r="J30" s="52">
        <v>7</v>
      </c>
      <c r="K30" s="91"/>
      <c r="L30" s="92"/>
    </row>
    <row r="31" s="3" customFormat="1" ht="44" customHeight="1" spans="1:14">
      <c r="A31" s="52" t="s">
        <v>53</v>
      </c>
      <c r="B31" s="52" t="s">
        <v>55</v>
      </c>
      <c r="C31" s="52" t="s">
        <v>32</v>
      </c>
      <c r="D31" s="52" t="s">
        <v>33</v>
      </c>
      <c r="E31" s="57">
        <v>24</v>
      </c>
      <c r="F31" s="53">
        <v>0.1044</v>
      </c>
      <c r="G31" s="53">
        <v>0.1044</v>
      </c>
      <c r="H31" s="90">
        <v>6.66</v>
      </c>
      <c r="I31" s="90">
        <f t="shared" si="0"/>
        <v>159.84</v>
      </c>
      <c r="J31" s="52">
        <v>1</v>
      </c>
      <c r="K31" s="91"/>
      <c r="L31" s="92"/>
      <c r="M31" s="1"/>
      <c r="N31" s="1"/>
    </row>
    <row r="32" s="74" customFormat="1" ht="34" customHeight="1" spans="1:14">
      <c r="A32" s="93" t="s">
        <v>20</v>
      </c>
      <c r="B32" s="94"/>
      <c r="C32" s="94"/>
      <c r="D32" s="95"/>
      <c r="E32" s="96">
        <f>SUM(E21:E31)</f>
        <v>13730</v>
      </c>
      <c r="F32" s="97"/>
      <c r="G32" s="97">
        <f>SUM(G21:G31)</f>
        <v>63.8409375</v>
      </c>
      <c r="H32" s="97"/>
      <c r="I32" s="98">
        <f>SUM(I21:I31)</f>
        <v>70028.8</v>
      </c>
      <c r="J32" s="99">
        <f>SUM(J21:J31)</f>
        <v>1136</v>
      </c>
      <c r="K32" s="56"/>
      <c r="L32" s="74"/>
      <c r="M32" s="100"/>
    </row>
    <row r="33" s="74" customFormat="1" ht="34" customHeight="1" spans="1:17">
      <c r="A33" s="93" t="s">
        <v>56</v>
      </c>
      <c r="B33" s="94"/>
      <c r="C33" s="94"/>
      <c r="D33" s="95"/>
      <c r="E33" s="96"/>
      <c r="F33" s="97"/>
      <c r="G33" s="97"/>
      <c r="H33" s="97"/>
      <c r="I33" s="98">
        <v>17915</v>
      </c>
      <c r="J33" s="99"/>
      <c r="K33" s="56"/>
      <c r="L33" s="74"/>
      <c r="M33" s="100"/>
    </row>
    <row r="34" s="74" customFormat="1" ht="34" customHeight="1" spans="1:17">
      <c r="A34" s="101" t="s">
        <v>57</v>
      </c>
      <c r="B34" s="102"/>
      <c r="C34" s="102"/>
      <c r="D34" s="103"/>
      <c r="E34" s="104"/>
      <c r="F34" s="105"/>
      <c r="G34" s="105"/>
      <c r="H34" s="105"/>
      <c r="I34" s="106">
        <f>SUM(I32:I33)</f>
        <v>87943.8</v>
      </c>
      <c r="J34" s="107"/>
      <c r="K34" s="56"/>
      <c r="L34" s="74"/>
      <c r="M34" s="100"/>
    </row>
    <row r="35" s="74" customFormat="1" ht="34" customHeight="1" spans="1:17">
      <c r="A35" s="101" t="s">
        <v>58</v>
      </c>
      <c r="B35" s="102"/>
      <c r="C35" s="102"/>
      <c r="D35" s="103"/>
      <c r="E35" s="104"/>
      <c r="F35" s="105"/>
      <c r="G35" s="105"/>
      <c r="H35" s="105"/>
      <c r="I35" s="106">
        <v>7388.41</v>
      </c>
      <c r="J35" s="107"/>
      <c r="K35" s="56"/>
      <c r="L35" s="74"/>
      <c r="M35" s="100"/>
    </row>
    <row r="36" s="74" customFormat="1" ht="34" customHeight="1" spans="1:17">
      <c r="A36" s="101" t="s">
        <v>59</v>
      </c>
      <c r="B36" s="102"/>
      <c r="C36" s="102"/>
      <c r="D36" s="103"/>
      <c r="E36" s="104"/>
      <c r="F36" s="105"/>
      <c r="G36" s="105"/>
      <c r="H36" s="105"/>
      <c r="I36" s="106">
        <v>6617.38</v>
      </c>
      <c r="J36" s="107"/>
      <c r="K36" s="56"/>
      <c r="L36" s="108"/>
      <c r="M36" s="100"/>
    </row>
    <row r="37" s="74" customFormat="1" ht="34" customHeight="1" spans="1:17">
      <c r="A37" s="109" t="s">
        <v>60</v>
      </c>
      <c r="B37" s="110"/>
      <c r="C37" s="110"/>
      <c r="D37" s="111"/>
      <c r="E37" s="112"/>
      <c r="F37" s="113"/>
      <c r="G37" s="113"/>
      <c r="H37" s="113"/>
      <c r="I37" s="114">
        <f>I34-I35-I36</f>
        <v>73938.01</v>
      </c>
      <c r="J37" s="115"/>
      <c r="K37" s="56"/>
      <c r="M37" s="100"/>
    </row>
    <row r="38" s="3" customFormat="1" ht="31" customHeight="1" spans="1:17">
      <c r="A38" s="62" t="s">
        <v>61</v>
      </c>
      <c r="B38" s="62"/>
      <c r="C38" s="116"/>
      <c r="D38" s="63"/>
      <c r="E38" s="64"/>
      <c r="F38" s="65"/>
      <c r="G38" s="66"/>
      <c r="H38" s="65"/>
      <c r="I38" s="63"/>
      <c r="J38" s="63"/>
      <c r="K38" s="67"/>
      <c r="L38" s="117"/>
      <c r="M38" s="1"/>
      <c r="N38" s="46"/>
      <c r="O38" s="20"/>
      <c r="P38" s="20"/>
      <c r="Q38" s="20"/>
    </row>
    <row r="39" ht="22" customHeight="1" spans="1:17">
      <c r="A39" s="62"/>
      <c r="B39" s="62"/>
      <c r="C39" s="30"/>
      <c r="D39" s="65"/>
    </row>
    <row r="40" ht="164" customHeight="1" spans="1:17">
      <c r="A40" s="118" t="s">
        <v>62</v>
      </c>
      <c r="B40" s="118"/>
      <c r="C40" s="118"/>
      <c r="D40" s="118"/>
      <c r="E40" s="118"/>
      <c r="F40" s="118"/>
      <c r="G40" s="118"/>
      <c r="H40" s="118"/>
      <c r="I40" s="118"/>
      <c r="J40" s="118"/>
    </row>
  </sheetData>
  <sheetProtection formatCells="0" insertHyperlinks="0" autoFilter="0"/>
  <mergeCells count="28">
    <mergeCell ref="A1:J1"/>
    <mergeCell ref="A2:J2"/>
    <mergeCell ref="A6:J6"/>
    <mergeCell ref="C8:E8"/>
    <mergeCell ref="B9:D9"/>
    <mergeCell ref="G9:H9"/>
    <mergeCell ref="B10:D10"/>
    <mergeCell ref="B11:D11"/>
    <mergeCell ref="G11:H11"/>
    <mergeCell ref="I11:J11"/>
    <mergeCell ref="B13:D13"/>
    <mergeCell ref="B14:D14"/>
    <mergeCell ref="B15:D15"/>
    <mergeCell ref="B16:D16"/>
    <mergeCell ref="C17:E17"/>
    <mergeCell ref="A32:D32"/>
    <mergeCell ref="A33:D33"/>
    <mergeCell ref="A34:D34"/>
    <mergeCell ref="A35:D35"/>
    <mergeCell ref="A36:D36"/>
    <mergeCell ref="A37:D37"/>
    <mergeCell ref="A40:J40"/>
    <mergeCell ref="A18:A20"/>
    <mergeCell ref="B18:B20"/>
    <mergeCell ref="C18:C20"/>
    <mergeCell ref="D18:D20"/>
    <mergeCell ref="F18:F20"/>
    <mergeCell ref="I9:J10"/>
  </mergeCells>
  <pageMargins left="0.75" right="0.75" top="0.275" bottom="1" header="0.5" footer="0.5"/>
  <pageSetup paperSize="1" scale="5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41"/>
  <sheetViews>
    <sheetView view="pageBreakPreview" zoomScale="75" zoomScaleNormal="90" topLeftCell="A17" workbookViewId="0">
      <selection activeCell="A29" sqref="A29"/>
    </sheetView>
  </sheetViews>
  <sheetFormatPr defaultColWidth="9" defaultRowHeight="15"/>
  <cols>
    <col min="1" max="1" width="19.9" style="3" customWidth="1"/>
    <col min="2" max="2" width="13.85" style="3" customWidth="1"/>
    <col min="3" max="3" width="27.125" style="3" customWidth="1"/>
    <col min="4" max="4" width="16.1416666666667" style="3" customWidth="1"/>
    <col min="5" max="5" width="13.4333333333333" style="3" customWidth="1"/>
    <col min="6" max="6" width="8.54166666666667" style="3" customWidth="1"/>
    <col min="7" max="7" width="12.5" style="4" customWidth="1"/>
    <col min="8" max="8" width="11.375" style="3" customWidth="1"/>
    <col min="9" max="9" width="12.875" style="3" customWidth="1"/>
    <col min="10" max="10" width="13" style="3" customWidth="1"/>
    <col min="11" max="11" width="12.875" style="3" customWidth="1"/>
    <col min="12" max="12" width="18.125" style="3" customWidth="1"/>
    <col min="13" max="13" width="15.375" style="3" customWidth="1"/>
    <col min="14" max="14" width="16.25" style="3" customWidth="1"/>
    <col min="15" max="15" width="9.375" style="3"/>
    <col min="16" max="16" width="9" style="3"/>
    <col min="17" max="17" width="18.5" style="3" customWidth="1"/>
    <col min="18" max="18" width="9.375" style="3"/>
    <col min="19" max="19" width="12.625" style="3"/>
    <col min="20" max="20" width="11.5" style="3"/>
    <col min="21" max="257" width="9" style="3"/>
    <col min="258" max="258" width="14.75" style="3" customWidth="1"/>
    <col min="259" max="259" width="26" style="3" customWidth="1"/>
    <col min="260" max="260" width="15.125" style="3" customWidth="1"/>
    <col min="261" max="261" width="15.375" style="3" customWidth="1"/>
    <col min="262" max="262" width="12.375" style="3" customWidth="1"/>
    <col min="263" max="263" width="10.875" style="3" customWidth="1"/>
    <col min="264" max="264" width="11.375" style="3" customWidth="1"/>
    <col min="265" max="265" width="10.75" style="3" customWidth="1"/>
    <col min="266" max="266" width="9.25" style="3" customWidth="1"/>
    <col min="267" max="267" width="13.5" style="3" customWidth="1"/>
    <col min="268" max="268" width="5.375" style="3" customWidth="1"/>
    <col min="269" max="513" width="9" style="3"/>
    <col min="514" max="514" width="14.75" style="3" customWidth="1"/>
    <col min="515" max="515" width="26" style="3" customWidth="1"/>
    <col min="516" max="516" width="15.125" style="3" customWidth="1"/>
    <col min="517" max="517" width="15.375" style="3" customWidth="1"/>
    <col min="518" max="518" width="12.375" style="3" customWidth="1"/>
    <col min="519" max="519" width="10.875" style="3" customWidth="1"/>
    <col min="520" max="520" width="11.375" style="3" customWidth="1"/>
    <col min="521" max="521" width="10.75" style="3" customWidth="1"/>
    <col min="522" max="522" width="9.25" style="3" customWidth="1"/>
    <col min="523" max="523" width="13.5" style="3" customWidth="1"/>
    <col min="524" max="524" width="5.375" style="3" customWidth="1"/>
    <col min="525" max="769" width="9" style="3"/>
    <col min="770" max="770" width="14.75" style="3" customWidth="1"/>
    <col min="771" max="771" width="26" style="3" customWidth="1"/>
    <col min="772" max="772" width="15.125" style="3" customWidth="1"/>
    <col min="773" max="773" width="15.375" style="3" customWidth="1"/>
    <col min="774" max="774" width="12.375" style="3" customWidth="1"/>
    <col min="775" max="775" width="10.875" style="3" customWidth="1"/>
    <col min="776" max="776" width="11.375" style="3" customWidth="1"/>
    <col min="777" max="777" width="10.75" style="3" customWidth="1"/>
    <col min="778" max="778" width="9.25" style="3" customWidth="1"/>
    <col min="779" max="779" width="13.5" style="3" customWidth="1"/>
    <col min="780" max="780" width="5.375" style="3" customWidth="1"/>
    <col min="781" max="1025" width="9" style="3"/>
    <col min="1026" max="1026" width="14.75" style="3" customWidth="1"/>
    <col min="1027" max="1027" width="26" style="3" customWidth="1"/>
    <col min="1028" max="1028" width="15.125" style="3" customWidth="1"/>
    <col min="1029" max="1029" width="15.375" style="3" customWidth="1"/>
    <col min="1030" max="1030" width="12.375" style="3" customWidth="1"/>
    <col min="1031" max="1031" width="10.875" style="3" customWidth="1"/>
    <col min="1032" max="1032" width="11.375" style="3" customWidth="1"/>
    <col min="1033" max="1033" width="10.75" style="3" customWidth="1"/>
    <col min="1034" max="1034" width="9.25" style="3" customWidth="1"/>
    <col min="1035" max="1035" width="13.5" style="3" customWidth="1"/>
    <col min="1036" max="1036" width="5.375" style="3" customWidth="1"/>
    <col min="1037" max="1281" width="9" style="3"/>
    <col min="1282" max="1282" width="14.75" style="3" customWidth="1"/>
    <col min="1283" max="1283" width="26" style="3" customWidth="1"/>
    <col min="1284" max="1284" width="15.125" style="3" customWidth="1"/>
    <col min="1285" max="1285" width="15.375" style="3" customWidth="1"/>
    <col min="1286" max="1286" width="12.375" style="3" customWidth="1"/>
    <col min="1287" max="1287" width="10.875" style="3" customWidth="1"/>
    <col min="1288" max="1288" width="11.375" style="3" customWidth="1"/>
    <col min="1289" max="1289" width="10.75" style="3" customWidth="1"/>
    <col min="1290" max="1290" width="9.25" style="3" customWidth="1"/>
    <col min="1291" max="1291" width="13.5" style="3" customWidth="1"/>
    <col min="1292" max="1292" width="5.375" style="3" customWidth="1"/>
    <col min="1293" max="1537" width="9" style="3"/>
    <col min="1538" max="1538" width="14.75" style="3" customWidth="1"/>
    <col min="1539" max="1539" width="26" style="3" customWidth="1"/>
    <col min="1540" max="1540" width="15.125" style="3" customWidth="1"/>
    <col min="1541" max="1541" width="15.375" style="3" customWidth="1"/>
    <col min="1542" max="1542" width="12.375" style="3" customWidth="1"/>
    <col min="1543" max="1543" width="10.875" style="3" customWidth="1"/>
    <col min="1544" max="1544" width="11.375" style="3" customWidth="1"/>
    <col min="1545" max="1545" width="10.75" style="3" customWidth="1"/>
    <col min="1546" max="1546" width="9.25" style="3" customWidth="1"/>
    <col min="1547" max="1547" width="13.5" style="3" customWidth="1"/>
    <col min="1548" max="1548" width="5.375" style="3" customWidth="1"/>
    <col min="1549" max="1793" width="9" style="3"/>
    <col min="1794" max="1794" width="14.75" style="3" customWidth="1"/>
    <col min="1795" max="1795" width="26" style="3" customWidth="1"/>
    <col min="1796" max="1796" width="15.125" style="3" customWidth="1"/>
    <col min="1797" max="1797" width="15.375" style="3" customWidth="1"/>
    <col min="1798" max="1798" width="12.375" style="3" customWidth="1"/>
    <col min="1799" max="1799" width="10.875" style="3" customWidth="1"/>
    <col min="1800" max="1800" width="11.375" style="3" customWidth="1"/>
    <col min="1801" max="1801" width="10.75" style="3" customWidth="1"/>
    <col min="1802" max="1802" width="9.25" style="3" customWidth="1"/>
    <col min="1803" max="1803" width="13.5" style="3" customWidth="1"/>
    <col min="1804" max="1804" width="5.375" style="3" customWidth="1"/>
    <col min="1805" max="2049" width="9" style="3"/>
    <col min="2050" max="2050" width="14.75" style="3" customWidth="1"/>
    <col min="2051" max="2051" width="26" style="3" customWidth="1"/>
    <col min="2052" max="2052" width="15.125" style="3" customWidth="1"/>
    <col min="2053" max="2053" width="15.375" style="3" customWidth="1"/>
    <col min="2054" max="2054" width="12.375" style="3" customWidth="1"/>
    <col min="2055" max="2055" width="10.875" style="3" customWidth="1"/>
    <col min="2056" max="2056" width="11.375" style="3" customWidth="1"/>
    <col min="2057" max="2057" width="10.75" style="3" customWidth="1"/>
    <col min="2058" max="2058" width="9.25" style="3" customWidth="1"/>
    <col min="2059" max="2059" width="13.5" style="3" customWidth="1"/>
    <col min="2060" max="2060" width="5.375" style="3" customWidth="1"/>
    <col min="2061" max="2305" width="9" style="3"/>
    <col min="2306" max="2306" width="14.75" style="3" customWidth="1"/>
    <col min="2307" max="2307" width="26" style="3" customWidth="1"/>
    <col min="2308" max="2308" width="15.125" style="3" customWidth="1"/>
    <col min="2309" max="2309" width="15.375" style="3" customWidth="1"/>
    <col min="2310" max="2310" width="12.375" style="3" customWidth="1"/>
    <col min="2311" max="2311" width="10.875" style="3" customWidth="1"/>
    <col min="2312" max="2312" width="11.375" style="3" customWidth="1"/>
    <col min="2313" max="2313" width="10.75" style="3" customWidth="1"/>
    <col min="2314" max="2314" width="9.25" style="3" customWidth="1"/>
    <col min="2315" max="2315" width="13.5" style="3" customWidth="1"/>
    <col min="2316" max="2316" width="5.375" style="3" customWidth="1"/>
    <col min="2317" max="2561" width="9" style="3"/>
    <col min="2562" max="2562" width="14.75" style="3" customWidth="1"/>
    <col min="2563" max="2563" width="26" style="3" customWidth="1"/>
    <col min="2564" max="2564" width="15.125" style="3" customWidth="1"/>
    <col min="2565" max="2565" width="15.375" style="3" customWidth="1"/>
    <col min="2566" max="2566" width="12.375" style="3" customWidth="1"/>
    <col min="2567" max="2567" width="10.875" style="3" customWidth="1"/>
    <col min="2568" max="2568" width="11.375" style="3" customWidth="1"/>
    <col min="2569" max="2569" width="10.75" style="3" customWidth="1"/>
    <col min="2570" max="2570" width="9.25" style="3" customWidth="1"/>
    <col min="2571" max="2571" width="13.5" style="3" customWidth="1"/>
    <col min="2572" max="2572" width="5.375" style="3" customWidth="1"/>
    <col min="2573" max="2817" width="9" style="3"/>
    <col min="2818" max="2818" width="14.75" style="3" customWidth="1"/>
    <col min="2819" max="2819" width="26" style="3" customWidth="1"/>
    <col min="2820" max="2820" width="15.125" style="3" customWidth="1"/>
    <col min="2821" max="2821" width="15.375" style="3" customWidth="1"/>
    <col min="2822" max="2822" width="12.375" style="3" customWidth="1"/>
    <col min="2823" max="2823" width="10.875" style="3" customWidth="1"/>
    <col min="2824" max="2824" width="11.375" style="3" customWidth="1"/>
    <col min="2825" max="2825" width="10.75" style="3" customWidth="1"/>
    <col min="2826" max="2826" width="9.25" style="3" customWidth="1"/>
    <col min="2827" max="2827" width="13.5" style="3" customWidth="1"/>
    <col min="2828" max="2828" width="5.375" style="3" customWidth="1"/>
    <col min="2829" max="3073" width="9" style="3"/>
    <col min="3074" max="3074" width="14.75" style="3" customWidth="1"/>
    <col min="3075" max="3075" width="26" style="3" customWidth="1"/>
    <col min="3076" max="3076" width="15.125" style="3" customWidth="1"/>
    <col min="3077" max="3077" width="15.375" style="3" customWidth="1"/>
    <col min="3078" max="3078" width="12.375" style="3" customWidth="1"/>
    <col min="3079" max="3079" width="10.875" style="3" customWidth="1"/>
    <col min="3080" max="3080" width="11.375" style="3" customWidth="1"/>
    <col min="3081" max="3081" width="10.75" style="3" customWidth="1"/>
    <col min="3082" max="3082" width="9.25" style="3" customWidth="1"/>
    <col min="3083" max="3083" width="13.5" style="3" customWidth="1"/>
    <col min="3084" max="3084" width="5.375" style="3" customWidth="1"/>
    <col min="3085" max="3329" width="9" style="3"/>
    <col min="3330" max="3330" width="14.75" style="3" customWidth="1"/>
    <col min="3331" max="3331" width="26" style="3" customWidth="1"/>
    <col min="3332" max="3332" width="15.125" style="3" customWidth="1"/>
    <col min="3333" max="3333" width="15.375" style="3" customWidth="1"/>
    <col min="3334" max="3334" width="12.375" style="3" customWidth="1"/>
    <col min="3335" max="3335" width="10.875" style="3" customWidth="1"/>
    <col min="3336" max="3336" width="11.375" style="3" customWidth="1"/>
    <col min="3337" max="3337" width="10.75" style="3" customWidth="1"/>
    <col min="3338" max="3338" width="9.25" style="3" customWidth="1"/>
    <col min="3339" max="3339" width="13.5" style="3" customWidth="1"/>
    <col min="3340" max="3340" width="5.375" style="3" customWidth="1"/>
    <col min="3341" max="3585" width="9" style="3"/>
    <col min="3586" max="3586" width="14.75" style="3" customWidth="1"/>
    <col min="3587" max="3587" width="26" style="3" customWidth="1"/>
    <col min="3588" max="3588" width="15.125" style="3" customWidth="1"/>
    <col min="3589" max="3589" width="15.375" style="3" customWidth="1"/>
    <col min="3590" max="3590" width="12.375" style="3" customWidth="1"/>
    <col min="3591" max="3591" width="10.875" style="3" customWidth="1"/>
    <col min="3592" max="3592" width="11.375" style="3" customWidth="1"/>
    <col min="3593" max="3593" width="10.75" style="3" customWidth="1"/>
    <col min="3594" max="3594" width="9.25" style="3" customWidth="1"/>
    <col min="3595" max="3595" width="13.5" style="3" customWidth="1"/>
    <col min="3596" max="3596" width="5.375" style="3" customWidth="1"/>
    <col min="3597" max="3841" width="9" style="3"/>
    <col min="3842" max="3842" width="14.75" style="3" customWidth="1"/>
    <col min="3843" max="3843" width="26" style="3" customWidth="1"/>
    <col min="3844" max="3844" width="15.125" style="3" customWidth="1"/>
    <col min="3845" max="3845" width="15.375" style="3" customWidth="1"/>
    <col min="3846" max="3846" width="12.375" style="3" customWidth="1"/>
    <col min="3847" max="3847" width="10.875" style="3" customWidth="1"/>
    <col min="3848" max="3848" width="11.375" style="3" customWidth="1"/>
    <col min="3849" max="3849" width="10.75" style="3" customWidth="1"/>
    <col min="3850" max="3850" width="9.25" style="3" customWidth="1"/>
    <col min="3851" max="3851" width="13.5" style="3" customWidth="1"/>
    <col min="3852" max="3852" width="5.375" style="3" customWidth="1"/>
    <col min="3853" max="4097" width="9" style="3"/>
    <col min="4098" max="4098" width="14.75" style="3" customWidth="1"/>
    <col min="4099" max="4099" width="26" style="3" customWidth="1"/>
    <col min="4100" max="4100" width="15.125" style="3" customWidth="1"/>
    <col min="4101" max="4101" width="15.375" style="3" customWidth="1"/>
    <col min="4102" max="4102" width="12.375" style="3" customWidth="1"/>
    <col min="4103" max="4103" width="10.875" style="3" customWidth="1"/>
    <col min="4104" max="4104" width="11.375" style="3" customWidth="1"/>
    <col min="4105" max="4105" width="10.75" style="3" customWidth="1"/>
    <col min="4106" max="4106" width="9.25" style="3" customWidth="1"/>
    <col min="4107" max="4107" width="13.5" style="3" customWidth="1"/>
    <col min="4108" max="4108" width="5.375" style="3" customWidth="1"/>
    <col min="4109" max="4353" width="9" style="3"/>
    <col min="4354" max="4354" width="14.75" style="3" customWidth="1"/>
    <col min="4355" max="4355" width="26" style="3" customWidth="1"/>
    <col min="4356" max="4356" width="15.125" style="3" customWidth="1"/>
    <col min="4357" max="4357" width="15.375" style="3" customWidth="1"/>
    <col min="4358" max="4358" width="12.375" style="3" customWidth="1"/>
    <col min="4359" max="4359" width="10.875" style="3" customWidth="1"/>
    <col min="4360" max="4360" width="11.375" style="3" customWidth="1"/>
    <col min="4361" max="4361" width="10.75" style="3" customWidth="1"/>
    <col min="4362" max="4362" width="9.25" style="3" customWidth="1"/>
    <col min="4363" max="4363" width="13.5" style="3" customWidth="1"/>
    <col min="4364" max="4364" width="5.375" style="3" customWidth="1"/>
    <col min="4365" max="4609" width="9" style="3"/>
    <col min="4610" max="4610" width="14.75" style="3" customWidth="1"/>
    <col min="4611" max="4611" width="26" style="3" customWidth="1"/>
    <col min="4612" max="4612" width="15.125" style="3" customWidth="1"/>
    <col min="4613" max="4613" width="15.375" style="3" customWidth="1"/>
    <col min="4614" max="4614" width="12.375" style="3" customWidth="1"/>
    <col min="4615" max="4615" width="10.875" style="3" customWidth="1"/>
    <col min="4616" max="4616" width="11.375" style="3" customWidth="1"/>
    <col min="4617" max="4617" width="10.75" style="3" customWidth="1"/>
    <col min="4618" max="4618" width="9.25" style="3" customWidth="1"/>
    <col min="4619" max="4619" width="13.5" style="3" customWidth="1"/>
    <col min="4620" max="4620" width="5.375" style="3" customWidth="1"/>
    <col min="4621" max="4865" width="9" style="3"/>
    <col min="4866" max="4866" width="14.75" style="3" customWidth="1"/>
    <col min="4867" max="4867" width="26" style="3" customWidth="1"/>
    <col min="4868" max="4868" width="15.125" style="3" customWidth="1"/>
    <col min="4869" max="4869" width="15.375" style="3" customWidth="1"/>
    <col min="4870" max="4870" width="12.375" style="3" customWidth="1"/>
    <col min="4871" max="4871" width="10.875" style="3" customWidth="1"/>
    <col min="4872" max="4872" width="11.375" style="3" customWidth="1"/>
    <col min="4873" max="4873" width="10.75" style="3" customWidth="1"/>
    <col min="4874" max="4874" width="9.25" style="3" customWidth="1"/>
    <col min="4875" max="4875" width="13.5" style="3" customWidth="1"/>
    <col min="4876" max="4876" width="5.375" style="3" customWidth="1"/>
    <col min="4877" max="5121" width="9" style="3"/>
    <col min="5122" max="5122" width="14.75" style="3" customWidth="1"/>
    <col min="5123" max="5123" width="26" style="3" customWidth="1"/>
    <col min="5124" max="5124" width="15.125" style="3" customWidth="1"/>
    <col min="5125" max="5125" width="15.375" style="3" customWidth="1"/>
    <col min="5126" max="5126" width="12.375" style="3" customWidth="1"/>
    <col min="5127" max="5127" width="10.875" style="3" customWidth="1"/>
    <col min="5128" max="5128" width="11.375" style="3" customWidth="1"/>
    <col min="5129" max="5129" width="10.75" style="3" customWidth="1"/>
    <col min="5130" max="5130" width="9.25" style="3" customWidth="1"/>
    <col min="5131" max="5131" width="13.5" style="3" customWidth="1"/>
    <col min="5132" max="5132" width="5.375" style="3" customWidth="1"/>
    <col min="5133" max="5377" width="9" style="3"/>
    <col min="5378" max="5378" width="14.75" style="3" customWidth="1"/>
    <col min="5379" max="5379" width="26" style="3" customWidth="1"/>
    <col min="5380" max="5380" width="15.125" style="3" customWidth="1"/>
    <col min="5381" max="5381" width="15.375" style="3" customWidth="1"/>
    <col min="5382" max="5382" width="12.375" style="3" customWidth="1"/>
    <col min="5383" max="5383" width="10.875" style="3" customWidth="1"/>
    <col min="5384" max="5384" width="11.375" style="3" customWidth="1"/>
    <col min="5385" max="5385" width="10.75" style="3" customWidth="1"/>
    <col min="5386" max="5386" width="9.25" style="3" customWidth="1"/>
    <col min="5387" max="5387" width="13.5" style="3" customWidth="1"/>
    <col min="5388" max="5388" width="5.375" style="3" customWidth="1"/>
    <col min="5389" max="5633" width="9" style="3"/>
    <col min="5634" max="5634" width="14.75" style="3" customWidth="1"/>
    <col min="5635" max="5635" width="26" style="3" customWidth="1"/>
    <col min="5636" max="5636" width="15.125" style="3" customWidth="1"/>
    <col min="5637" max="5637" width="15.375" style="3" customWidth="1"/>
    <col min="5638" max="5638" width="12.375" style="3" customWidth="1"/>
    <col min="5639" max="5639" width="10.875" style="3" customWidth="1"/>
    <col min="5640" max="5640" width="11.375" style="3" customWidth="1"/>
    <col min="5641" max="5641" width="10.75" style="3" customWidth="1"/>
    <col min="5642" max="5642" width="9.25" style="3" customWidth="1"/>
    <col min="5643" max="5643" width="13.5" style="3" customWidth="1"/>
    <col min="5644" max="5644" width="5.375" style="3" customWidth="1"/>
    <col min="5645" max="5889" width="9" style="3"/>
    <col min="5890" max="5890" width="14.75" style="3" customWidth="1"/>
    <col min="5891" max="5891" width="26" style="3" customWidth="1"/>
    <col min="5892" max="5892" width="15.125" style="3" customWidth="1"/>
    <col min="5893" max="5893" width="15.375" style="3" customWidth="1"/>
    <col min="5894" max="5894" width="12.375" style="3" customWidth="1"/>
    <col min="5895" max="5895" width="10.875" style="3" customWidth="1"/>
    <col min="5896" max="5896" width="11.375" style="3" customWidth="1"/>
    <col min="5897" max="5897" width="10.75" style="3" customWidth="1"/>
    <col min="5898" max="5898" width="9.25" style="3" customWidth="1"/>
    <col min="5899" max="5899" width="13.5" style="3" customWidth="1"/>
    <col min="5900" max="5900" width="5.375" style="3" customWidth="1"/>
    <col min="5901" max="6145" width="9" style="3"/>
    <col min="6146" max="6146" width="14.75" style="3" customWidth="1"/>
    <col min="6147" max="6147" width="26" style="3" customWidth="1"/>
    <col min="6148" max="6148" width="15.125" style="3" customWidth="1"/>
    <col min="6149" max="6149" width="15.375" style="3" customWidth="1"/>
    <col min="6150" max="6150" width="12.375" style="3" customWidth="1"/>
    <col min="6151" max="6151" width="10.875" style="3" customWidth="1"/>
    <col min="6152" max="6152" width="11.375" style="3" customWidth="1"/>
    <col min="6153" max="6153" width="10.75" style="3" customWidth="1"/>
    <col min="6154" max="6154" width="9.25" style="3" customWidth="1"/>
    <col min="6155" max="6155" width="13.5" style="3" customWidth="1"/>
    <col min="6156" max="6156" width="5.375" style="3" customWidth="1"/>
    <col min="6157" max="6401" width="9" style="3"/>
    <col min="6402" max="6402" width="14.75" style="3" customWidth="1"/>
    <col min="6403" max="6403" width="26" style="3" customWidth="1"/>
    <col min="6404" max="6404" width="15.125" style="3" customWidth="1"/>
    <col min="6405" max="6405" width="15.375" style="3" customWidth="1"/>
    <col min="6406" max="6406" width="12.375" style="3" customWidth="1"/>
    <col min="6407" max="6407" width="10.875" style="3" customWidth="1"/>
    <col min="6408" max="6408" width="11.375" style="3" customWidth="1"/>
    <col min="6409" max="6409" width="10.75" style="3" customWidth="1"/>
    <col min="6410" max="6410" width="9.25" style="3" customWidth="1"/>
    <col min="6411" max="6411" width="13.5" style="3" customWidth="1"/>
    <col min="6412" max="6412" width="5.375" style="3" customWidth="1"/>
    <col min="6413" max="6657" width="9" style="3"/>
    <col min="6658" max="6658" width="14.75" style="3" customWidth="1"/>
    <col min="6659" max="6659" width="26" style="3" customWidth="1"/>
    <col min="6660" max="6660" width="15.125" style="3" customWidth="1"/>
    <col min="6661" max="6661" width="15.375" style="3" customWidth="1"/>
    <col min="6662" max="6662" width="12.375" style="3" customWidth="1"/>
    <col min="6663" max="6663" width="10.875" style="3" customWidth="1"/>
    <col min="6664" max="6664" width="11.375" style="3" customWidth="1"/>
    <col min="6665" max="6665" width="10.75" style="3" customWidth="1"/>
    <col min="6666" max="6666" width="9.25" style="3" customWidth="1"/>
    <col min="6667" max="6667" width="13.5" style="3" customWidth="1"/>
    <col min="6668" max="6668" width="5.375" style="3" customWidth="1"/>
    <col min="6669" max="6913" width="9" style="3"/>
    <col min="6914" max="6914" width="14.75" style="3" customWidth="1"/>
    <col min="6915" max="6915" width="26" style="3" customWidth="1"/>
    <col min="6916" max="6916" width="15.125" style="3" customWidth="1"/>
    <col min="6917" max="6917" width="15.375" style="3" customWidth="1"/>
    <col min="6918" max="6918" width="12.375" style="3" customWidth="1"/>
    <col min="6919" max="6919" width="10.875" style="3" customWidth="1"/>
    <col min="6920" max="6920" width="11.375" style="3" customWidth="1"/>
    <col min="6921" max="6921" width="10.75" style="3" customWidth="1"/>
    <col min="6922" max="6922" width="9.25" style="3" customWidth="1"/>
    <col min="6923" max="6923" width="13.5" style="3" customWidth="1"/>
    <col min="6924" max="6924" width="5.375" style="3" customWidth="1"/>
    <col min="6925" max="7169" width="9" style="3"/>
    <col min="7170" max="7170" width="14.75" style="3" customWidth="1"/>
    <col min="7171" max="7171" width="26" style="3" customWidth="1"/>
    <col min="7172" max="7172" width="15.125" style="3" customWidth="1"/>
    <col min="7173" max="7173" width="15.375" style="3" customWidth="1"/>
    <col min="7174" max="7174" width="12.375" style="3" customWidth="1"/>
    <col min="7175" max="7175" width="10.875" style="3" customWidth="1"/>
    <col min="7176" max="7176" width="11.375" style="3" customWidth="1"/>
    <col min="7177" max="7177" width="10.75" style="3" customWidth="1"/>
    <col min="7178" max="7178" width="9.25" style="3" customWidth="1"/>
    <col min="7179" max="7179" width="13.5" style="3" customWidth="1"/>
    <col min="7180" max="7180" width="5.375" style="3" customWidth="1"/>
    <col min="7181" max="7425" width="9" style="3"/>
    <col min="7426" max="7426" width="14.75" style="3" customWidth="1"/>
    <col min="7427" max="7427" width="26" style="3" customWidth="1"/>
    <col min="7428" max="7428" width="15.125" style="3" customWidth="1"/>
    <col min="7429" max="7429" width="15.375" style="3" customWidth="1"/>
    <col min="7430" max="7430" width="12.375" style="3" customWidth="1"/>
    <col min="7431" max="7431" width="10.875" style="3" customWidth="1"/>
    <col min="7432" max="7432" width="11.375" style="3" customWidth="1"/>
    <col min="7433" max="7433" width="10.75" style="3" customWidth="1"/>
    <col min="7434" max="7434" width="9.25" style="3" customWidth="1"/>
    <col min="7435" max="7435" width="13.5" style="3" customWidth="1"/>
    <col min="7436" max="7436" width="5.375" style="3" customWidth="1"/>
    <col min="7437" max="7681" width="9" style="3"/>
    <col min="7682" max="7682" width="14.75" style="3" customWidth="1"/>
    <col min="7683" max="7683" width="26" style="3" customWidth="1"/>
    <col min="7684" max="7684" width="15.125" style="3" customWidth="1"/>
    <col min="7685" max="7685" width="15.375" style="3" customWidth="1"/>
    <col min="7686" max="7686" width="12.375" style="3" customWidth="1"/>
    <col min="7687" max="7687" width="10.875" style="3" customWidth="1"/>
    <col min="7688" max="7688" width="11.375" style="3" customWidth="1"/>
    <col min="7689" max="7689" width="10.75" style="3" customWidth="1"/>
    <col min="7690" max="7690" width="9.25" style="3" customWidth="1"/>
    <col min="7691" max="7691" width="13.5" style="3" customWidth="1"/>
    <col min="7692" max="7692" width="5.375" style="3" customWidth="1"/>
    <col min="7693" max="7937" width="9" style="3"/>
    <col min="7938" max="7938" width="14.75" style="3" customWidth="1"/>
    <col min="7939" max="7939" width="26" style="3" customWidth="1"/>
    <col min="7940" max="7940" width="15.125" style="3" customWidth="1"/>
    <col min="7941" max="7941" width="15.375" style="3" customWidth="1"/>
    <col min="7942" max="7942" width="12.375" style="3" customWidth="1"/>
    <col min="7943" max="7943" width="10.875" style="3" customWidth="1"/>
    <col min="7944" max="7944" width="11.375" style="3" customWidth="1"/>
    <col min="7945" max="7945" width="10.75" style="3" customWidth="1"/>
    <col min="7946" max="7946" width="9.25" style="3" customWidth="1"/>
    <col min="7947" max="7947" width="13.5" style="3" customWidth="1"/>
    <col min="7948" max="7948" width="5.375" style="3" customWidth="1"/>
    <col min="7949" max="8193" width="9" style="3"/>
    <col min="8194" max="8194" width="14.75" style="3" customWidth="1"/>
    <col min="8195" max="8195" width="26" style="3" customWidth="1"/>
    <col min="8196" max="8196" width="15.125" style="3" customWidth="1"/>
    <col min="8197" max="8197" width="15.375" style="3" customWidth="1"/>
    <col min="8198" max="8198" width="12.375" style="3" customWidth="1"/>
    <col min="8199" max="8199" width="10.875" style="3" customWidth="1"/>
    <col min="8200" max="8200" width="11.375" style="3" customWidth="1"/>
    <col min="8201" max="8201" width="10.75" style="3" customWidth="1"/>
    <col min="8202" max="8202" width="9.25" style="3" customWidth="1"/>
    <col min="8203" max="8203" width="13.5" style="3" customWidth="1"/>
    <col min="8204" max="8204" width="5.375" style="3" customWidth="1"/>
    <col min="8205" max="8449" width="9" style="3"/>
    <col min="8450" max="8450" width="14.75" style="3" customWidth="1"/>
    <col min="8451" max="8451" width="26" style="3" customWidth="1"/>
    <col min="8452" max="8452" width="15.125" style="3" customWidth="1"/>
    <col min="8453" max="8453" width="15.375" style="3" customWidth="1"/>
    <col min="8454" max="8454" width="12.375" style="3" customWidth="1"/>
    <col min="8455" max="8455" width="10.875" style="3" customWidth="1"/>
    <col min="8456" max="8456" width="11.375" style="3" customWidth="1"/>
    <col min="8457" max="8457" width="10.75" style="3" customWidth="1"/>
    <col min="8458" max="8458" width="9.25" style="3" customWidth="1"/>
    <col min="8459" max="8459" width="13.5" style="3" customWidth="1"/>
    <col min="8460" max="8460" width="5.375" style="3" customWidth="1"/>
    <col min="8461" max="8705" width="9" style="3"/>
    <col min="8706" max="8706" width="14.75" style="3" customWidth="1"/>
    <col min="8707" max="8707" width="26" style="3" customWidth="1"/>
    <col min="8708" max="8708" width="15.125" style="3" customWidth="1"/>
    <col min="8709" max="8709" width="15.375" style="3" customWidth="1"/>
    <col min="8710" max="8710" width="12.375" style="3" customWidth="1"/>
    <col min="8711" max="8711" width="10.875" style="3" customWidth="1"/>
    <col min="8712" max="8712" width="11.375" style="3" customWidth="1"/>
    <col min="8713" max="8713" width="10.75" style="3" customWidth="1"/>
    <col min="8714" max="8714" width="9.25" style="3" customWidth="1"/>
    <col min="8715" max="8715" width="13.5" style="3" customWidth="1"/>
    <col min="8716" max="8716" width="5.375" style="3" customWidth="1"/>
    <col min="8717" max="8961" width="9" style="3"/>
    <col min="8962" max="8962" width="14.75" style="3" customWidth="1"/>
    <col min="8963" max="8963" width="26" style="3" customWidth="1"/>
    <col min="8964" max="8964" width="15.125" style="3" customWidth="1"/>
    <col min="8965" max="8965" width="15.375" style="3" customWidth="1"/>
    <col min="8966" max="8966" width="12.375" style="3" customWidth="1"/>
    <col min="8967" max="8967" width="10.875" style="3" customWidth="1"/>
    <col min="8968" max="8968" width="11.375" style="3" customWidth="1"/>
    <col min="8969" max="8969" width="10.75" style="3" customWidth="1"/>
    <col min="8970" max="8970" width="9.25" style="3" customWidth="1"/>
    <col min="8971" max="8971" width="13.5" style="3" customWidth="1"/>
    <col min="8972" max="8972" width="5.375" style="3" customWidth="1"/>
    <col min="8973" max="9217" width="9" style="3"/>
    <col min="9218" max="9218" width="14.75" style="3" customWidth="1"/>
    <col min="9219" max="9219" width="26" style="3" customWidth="1"/>
    <col min="9220" max="9220" width="15.125" style="3" customWidth="1"/>
    <col min="9221" max="9221" width="15.375" style="3" customWidth="1"/>
    <col min="9222" max="9222" width="12.375" style="3" customWidth="1"/>
    <col min="9223" max="9223" width="10.875" style="3" customWidth="1"/>
    <col min="9224" max="9224" width="11.375" style="3" customWidth="1"/>
    <col min="9225" max="9225" width="10.75" style="3" customWidth="1"/>
    <col min="9226" max="9226" width="9.25" style="3" customWidth="1"/>
    <col min="9227" max="9227" width="13.5" style="3" customWidth="1"/>
    <col min="9228" max="9228" width="5.375" style="3" customWidth="1"/>
    <col min="9229" max="9473" width="9" style="3"/>
    <col min="9474" max="9474" width="14.75" style="3" customWidth="1"/>
    <col min="9475" max="9475" width="26" style="3" customWidth="1"/>
    <col min="9476" max="9476" width="15.125" style="3" customWidth="1"/>
    <col min="9477" max="9477" width="15.375" style="3" customWidth="1"/>
    <col min="9478" max="9478" width="12.375" style="3" customWidth="1"/>
    <col min="9479" max="9479" width="10.875" style="3" customWidth="1"/>
    <col min="9480" max="9480" width="11.375" style="3" customWidth="1"/>
    <col min="9481" max="9481" width="10.75" style="3" customWidth="1"/>
    <col min="9482" max="9482" width="9.25" style="3" customWidth="1"/>
    <col min="9483" max="9483" width="13.5" style="3" customWidth="1"/>
    <col min="9484" max="9484" width="5.375" style="3" customWidth="1"/>
    <col min="9485" max="9729" width="9" style="3"/>
    <col min="9730" max="9730" width="14.75" style="3" customWidth="1"/>
    <col min="9731" max="9731" width="26" style="3" customWidth="1"/>
    <col min="9732" max="9732" width="15.125" style="3" customWidth="1"/>
    <col min="9733" max="9733" width="15.375" style="3" customWidth="1"/>
    <col min="9734" max="9734" width="12.375" style="3" customWidth="1"/>
    <col min="9735" max="9735" width="10.875" style="3" customWidth="1"/>
    <col min="9736" max="9736" width="11.375" style="3" customWidth="1"/>
    <col min="9737" max="9737" width="10.75" style="3" customWidth="1"/>
    <col min="9738" max="9738" width="9.25" style="3" customWidth="1"/>
    <col min="9739" max="9739" width="13.5" style="3" customWidth="1"/>
    <col min="9740" max="9740" width="5.375" style="3" customWidth="1"/>
    <col min="9741" max="9985" width="9" style="3"/>
    <col min="9986" max="9986" width="14.75" style="3" customWidth="1"/>
    <col min="9987" max="9987" width="26" style="3" customWidth="1"/>
    <col min="9988" max="9988" width="15.125" style="3" customWidth="1"/>
    <col min="9989" max="9989" width="15.375" style="3" customWidth="1"/>
    <col min="9990" max="9990" width="12.375" style="3" customWidth="1"/>
    <col min="9991" max="9991" width="10.875" style="3" customWidth="1"/>
    <col min="9992" max="9992" width="11.375" style="3" customWidth="1"/>
    <col min="9993" max="9993" width="10.75" style="3" customWidth="1"/>
    <col min="9994" max="9994" width="9.25" style="3" customWidth="1"/>
    <col min="9995" max="9995" width="13.5" style="3" customWidth="1"/>
    <col min="9996" max="9996" width="5.375" style="3" customWidth="1"/>
    <col min="9997" max="10241" width="9" style="3"/>
    <col min="10242" max="10242" width="14.75" style="3" customWidth="1"/>
    <col min="10243" max="10243" width="26" style="3" customWidth="1"/>
    <col min="10244" max="10244" width="15.125" style="3" customWidth="1"/>
    <col min="10245" max="10245" width="15.375" style="3" customWidth="1"/>
    <col min="10246" max="10246" width="12.375" style="3" customWidth="1"/>
    <col min="10247" max="10247" width="10.875" style="3" customWidth="1"/>
    <col min="10248" max="10248" width="11.375" style="3" customWidth="1"/>
    <col min="10249" max="10249" width="10.75" style="3" customWidth="1"/>
    <col min="10250" max="10250" width="9.25" style="3" customWidth="1"/>
    <col min="10251" max="10251" width="13.5" style="3" customWidth="1"/>
    <col min="10252" max="10252" width="5.375" style="3" customWidth="1"/>
    <col min="10253" max="10497" width="9" style="3"/>
    <col min="10498" max="10498" width="14.75" style="3" customWidth="1"/>
    <col min="10499" max="10499" width="26" style="3" customWidth="1"/>
    <col min="10500" max="10500" width="15.125" style="3" customWidth="1"/>
    <col min="10501" max="10501" width="15.375" style="3" customWidth="1"/>
    <col min="10502" max="10502" width="12.375" style="3" customWidth="1"/>
    <col min="10503" max="10503" width="10.875" style="3" customWidth="1"/>
    <col min="10504" max="10504" width="11.375" style="3" customWidth="1"/>
    <col min="10505" max="10505" width="10.75" style="3" customWidth="1"/>
    <col min="10506" max="10506" width="9.25" style="3" customWidth="1"/>
    <col min="10507" max="10507" width="13.5" style="3" customWidth="1"/>
    <col min="10508" max="10508" width="5.375" style="3" customWidth="1"/>
    <col min="10509" max="10753" width="9" style="3"/>
    <col min="10754" max="10754" width="14.75" style="3" customWidth="1"/>
    <col min="10755" max="10755" width="26" style="3" customWidth="1"/>
    <col min="10756" max="10756" width="15.125" style="3" customWidth="1"/>
    <col min="10757" max="10757" width="15.375" style="3" customWidth="1"/>
    <col min="10758" max="10758" width="12.375" style="3" customWidth="1"/>
    <col min="10759" max="10759" width="10.875" style="3" customWidth="1"/>
    <col min="10760" max="10760" width="11.375" style="3" customWidth="1"/>
    <col min="10761" max="10761" width="10.75" style="3" customWidth="1"/>
    <col min="10762" max="10762" width="9.25" style="3" customWidth="1"/>
    <col min="10763" max="10763" width="13.5" style="3" customWidth="1"/>
    <col min="10764" max="10764" width="5.375" style="3" customWidth="1"/>
    <col min="10765" max="11009" width="9" style="3"/>
    <col min="11010" max="11010" width="14.75" style="3" customWidth="1"/>
    <col min="11011" max="11011" width="26" style="3" customWidth="1"/>
    <col min="11012" max="11012" width="15.125" style="3" customWidth="1"/>
    <col min="11013" max="11013" width="15.375" style="3" customWidth="1"/>
    <col min="11014" max="11014" width="12.375" style="3" customWidth="1"/>
    <col min="11015" max="11015" width="10.875" style="3" customWidth="1"/>
    <col min="11016" max="11016" width="11.375" style="3" customWidth="1"/>
    <col min="11017" max="11017" width="10.75" style="3" customWidth="1"/>
    <col min="11018" max="11018" width="9.25" style="3" customWidth="1"/>
    <col min="11019" max="11019" width="13.5" style="3" customWidth="1"/>
    <col min="11020" max="11020" width="5.375" style="3" customWidth="1"/>
    <col min="11021" max="11265" width="9" style="3"/>
    <col min="11266" max="11266" width="14.75" style="3" customWidth="1"/>
    <col min="11267" max="11267" width="26" style="3" customWidth="1"/>
    <col min="11268" max="11268" width="15.125" style="3" customWidth="1"/>
    <col min="11269" max="11269" width="15.375" style="3" customWidth="1"/>
    <col min="11270" max="11270" width="12.375" style="3" customWidth="1"/>
    <col min="11271" max="11271" width="10.875" style="3" customWidth="1"/>
    <col min="11272" max="11272" width="11.375" style="3" customWidth="1"/>
    <col min="11273" max="11273" width="10.75" style="3" customWidth="1"/>
    <col min="11274" max="11274" width="9.25" style="3" customWidth="1"/>
    <col min="11275" max="11275" width="13.5" style="3" customWidth="1"/>
    <col min="11276" max="11276" width="5.375" style="3" customWidth="1"/>
    <col min="11277" max="11521" width="9" style="3"/>
    <col min="11522" max="11522" width="14.75" style="3" customWidth="1"/>
    <col min="11523" max="11523" width="26" style="3" customWidth="1"/>
    <col min="11524" max="11524" width="15.125" style="3" customWidth="1"/>
    <col min="11525" max="11525" width="15.375" style="3" customWidth="1"/>
    <col min="11526" max="11526" width="12.375" style="3" customWidth="1"/>
    <col min="11527" max="11527" width="10.875" style="3" customWidth="1"/>
    <col min="11528" max="11528" width="11.375" style="3" customWidth="1"/>
    <col min="11529" max="11529" width="10.75" style="3" customWidth="1"/>
    <col min="11530" max="11530" width="9.25" style="3" customWidth="1"/>
    <col min="11531" max="11531" width="13.5" style="3" customWidth="1"/>
    <col min="11532" max="11532" width="5.375" style="3" customWidth="1"/>
    <col min="11533" max="11777" width="9" style="3"/>
    <col min="11778" max="11778" width="14.75" style="3" customWidth="1"/>
    <col min="11779" max="11779" width="26" style="3" customWidth="1"/>
    <col min="11780" max="11780" width="15.125" style="3" customWidth="1"/>
    <col min="11781" max="11781" width="15.375" style="3" customWidth="1"/>
    <col min="11782" max="11782" width="12.375" style="3" customWidth="1"/>
    <col min="11783" max="11783" width="10.875" style="3" customWidth="1"/>
    <col min="11784" max="11784" width="11.375" style="3" customWidth="1"/>
    <col min="11785" max="11785" width="10.75" style="3" customWidth="1"/>
    <col min="11786" max="11786" width="9.25" style="3" customWidth="1"/>
    <col min="11787" max="11787" width="13.5" style="3" customWidth="1"/>
    <col min="11788" max="11788" width="5.375" style="3" customWidth="1"/>
    <col min="11789" max="12033" width="9" style="3"/>
    <col min="12034" max="12034" width="14.75" style="3" customWidth="1"/>
    <col min="12035" max="12035" width="26" style="3" customWidth="1"/>
    <col min="12036" max="12036" width="15.125" style="3" customWidth="1"/>
    <col min="12037" max="12037" width="15.375" style="3" customWidth="1"/>
    <col min="12038" max="12038" width="12.375" style="3" customWidth="1"/>
    <col min="12039" max="12039" width="10.875" style="3" customWidth="1"/>
    <col min="12040" max="12040" width="11.375" style="3" customWidth="1"/>
    <col min="12041" max="12041" width="10.75" style="3" customWidth="1"/>
    <col min="12042" max="12042" width="9.25" style="3" customWidth="1"/>
    <col min="12043" max="12043" width="13.5" style="3" customWidth="1"/>
    <col min="12044" max="12044" width="5.375" style="3" customWidth="1"/>
    <col min="12045" max="12289" width="9" style="3"/>
    <col min="12290" max="12290" width="14.75" style="3" customWidth="1"/>
    <col min="12291" max="12291" width="26" style="3" customWidth="1"/>
    <col min="12292" max="12292" width="15.125" style="3" customWidth="1"/>
    <col min="12293" max="12293" width="15.375" style="3" customWidth="1"/>
    <col min="12294" max="12294" width="12.375" style="3" customWidth="1"/>
    <col min="12295" max="12295" width="10.875" style="3" customWidth="1"/>
    <col min="12296" max="12296" width="11.375" style="3" customWidth="1"/>
    <col min="12297" max="12297" width="10.75" style="3" customWidth="1"/>
    <col min="12298" max="12298" width="9.25" style="3" customWidth="1"/>
    <col min="12299" max="12299" width="13.5" style="3" customWidth="1"/>
    <col min="12300" max="12300" width="5.375" style="3" customWidth="1"/>
    <col min="12301" max="12545" width="9" style="3"/>
    <col min="12546" max="12546" width="14.75" style="3" customWidth="1"/>
    <col min="12547" max="12547" width="26" style="3" customWidth="1"/>
    <col min="12548" max="12548" width="15.125" style="3" customWidth="1"/>
    <col min="12549" max="12549" width="15.375" style="3" customWidth="1"/>
    <col min="12550" max="12550" width="12.375" style="3" customWidth="1"/>
    <col min="12551" max="12551" width="10.875" style="3" customWidth="1"/>
    <col min="12552" max="12552" width="11.375" style="3" customWidth="1"/>
    <col min="12553" max="12553" width="10.75" style="3" customWidth="1"/>
    <col min="12554" max="12554" width="9.25" style="3" customWidth="1"/>
    <col min="12555" max="12555" width="13.5" style="3" customWidth="1"/>
    <col min="12556" max="12556" width="5.375" style="3" customWidth="1"/>
    <col min="12557" max="12801" width="9" style="3"/>
    <col min="12802" max="12802" width="14.75" style="3" customWidth="1"/>
    <col min="12803" max="12803" width="26" style="3" customWidth="1"/>
    <col min="12804" max="12804" width="15.125" style="3" customWidth="1"/>
    <col min="12805" max="12805" width="15.375" style="3" customWidth="1"/>
    <col min="12806" max="12806" width="12.375" style="3" customWidth="1"/>
    <col min="12807" max="12807" width="10.875" style="3" customWidth="1"/>
    <col min="12808" max="12808" width="11.375" style="3" customWidth="1"/>
    <col min="12809" max="12809" width="10.75" style="3" customWidth="1"/>
    <col min="12810" max="12810" width="9.25" style="3" customWidth="1"/>
    <col min="12811" max="12811" width="13.5" style="3" customWidth="1"/>
    <col min="12812" max="12812" width="5.375" style="3" customWidth="1"/>
    <col min="12813" max="13057" width="9" style="3"/>
    <col min="13058" max="13058" width="14.75" style="3" customWidth="1"/>
    <col min="13059" max="13059" width="26" style="3" customWidth="1"/>
    <col min="13060" max="13060" width="15.125" style="3" customWidth="1"/>
    <col min="13061" max="13061" width="15.375" style="3" customWidth="1"/>
    <col min="13062" max="13062" width="12.375" style="3" customWidth="1"/>
    <col min="13063" max="13063" width="10.875" style="3" customWidth="1"/>
    <col min="13064" max="13064" width="11.375" style="3" customWidth="1"/>
    <col min="13065" max="13065" width="10.75" style="3" customWidth="1"/>
    <col min="13066" max="13066" width="9.25" style="3" customWidth="1"/>
    <col min="13067" max="13067" width="13.5" style="3" customWidth="1"/>
    <col min="13068" max="13068" width="5.375" style="3" customWidth="1"/>
    <col min="13069" max="13313" width="9" style="3"/>
    <col min="13314" max="13314" width="14.75" style="3" customWidth="1"/>
    <col min="13315" max="13315" width="26" style="3" customWidth="1"/>
    <col min="13316" max="13316" width="15.125" style="3" customWidth="1"/>
    <col min="13317" max="13317" width="15.375" style="3" customWidth="1"/>
    <col min="13318" max="13318" width="12.375" style="3" customWidth="1"/>
    <col min="13319" max="13319" width="10.875" style="3" customWidth="1"/>
    <col min="13320" max="13320" width="11.375" style="3" customWidth="1"/>
    <col min="13321" max="13321" width="10.75" style="3" customWidth="1"/>
    <col min="13322" max="13322" width="9.25" style="3" customWidth="1"/>
    <col min="13323" max="13323" width="13.5" style="3" customWidth="1"/>
    <col min="13324" max="13324" width="5.375" style="3" customWidth="1"/>
    <col min="13325" max="13569" width="9" style="3"/>
    <col min="13570" max="13570" width="14.75" style="3" customWidth="1"/>
    <col min="13571" max="13571" width="26" style="3" customWidth="1"/>
    <col min="13572" max="13572" width="15.125" style="3" customWidth="1"/>
    <col min="13573" max="13573" width="15.375" style="3" customWidth="1"/>
    <col min="13574" max="13574" width="12.375" style="3" customWidth="1"/>
    <col min="13575" max="13575" width="10.875" style="3" customWidth="1"/>
    <col min="13576" max="13576" width="11.375" style="3" customWidth="1"/>
    <col min="13577" max="13577" width="10.75" style="3" customWidth="1"/>
    <col min="13578" max="13578" width="9.25" style="3" customWidth="1"/>
    <col min="13579" max="13579" width="13.5" style="3" customWidth="1"/>
    <col min="13580" max="13580" width="5.375" style="3" customWidth="1"/>
    <col min="13581" max="13825" width="9" style="3"/>
    <col min="13826" max="13826" width="14.75" style="3" customWidth="1"/>
    <col min="13827" max="13827" width="26" style="3" customWidth="1"/>
    <col min="13828" max="13828" width="15.125" style="3" customWidth="1"/>
    <col min="13829" max="13829" width="15.375" style="3" customWidth="1"/>
    <col min="13830" max="13830" width="12.375" style="3" customWidth="1"/>
    <col min="13831" max="13831" width="10.875" style="3" customWidth="1"/>
    <col min="13832" max="13832" width="11.375" style="3" customWidth="1"/>
    <col min="13833" max="13833" width="10.75" style="3" customWidth="1"/>
    <col min="13834" max="13834" width="9.25" style="3" customWidth="1"/>
    <col min="13835" max="13835" width="13.5" style="3" customWidth="1"/>
    <col min="13836" max="13836" width="5.375" style="3" customWidth="1"/>
    <col min="13837" max="14081" width="9" style="3"/>
    <col min="14082" max="14082" width="14.75" style="3" customWidth="1"/>
    <col min="14083" max="14083" width="26" style="3" customWidth="1"/>
    <col min="14084" max="14084" width="15.125" style="3" customWidth="1"/>
    <col min="14085" max="14085" width="15.375" style="3" customWidth="1"/>
    <col min="14086" max="14086" width="12.375" style="3" customWidth="1"/>
    <col min="14087" max="14087" width="10.875" style="3" customWidth="1"/>
    <col min="14088" max="14088" width="11.375" style="3" customWidth="1"/>
    <col min="14089" max="14089" width="10.75" style="3" customWidth="1"/>
    <col min="14090" max="14090" width="9.25" style="3" customWidth="1"/>
    <col min="14091" max="14091" width="13.5" style="3" customWidth="1"/>
    <col min="14092" max="14092" width="5.375" style="3" customWidth="1"/>
    <col min="14093" max="14337" width="9" style="3"/>
    <col min="14338" max="14338" width="14.75" style="3" customWidth="1"/>
    <col min="14339" max="14339" width="26" style="3" customWidth="1"/>
    <col min="14340" max="14340" width="15.125" style="3" customWidth="1"/>
    <col min="14341" max="14341" width="15.375" style="3" customWidth="1"/>
    <col min="14342" max="14342" width="12.375" style="3" customWidth="1"/>
    <col min="14343" max="14343" width="10.875" style="3" customWidth="1"/>
    <col min="14344" max="14344" width="11.375" style="3" customWidth="1"/>
    <col min="14345" max="14345" width="10.75" style="3" customWidth="1"/>
    <col min="14346" max="14346" width="9.25" style="3" customWidth="1"/>
    <col min="14347" max="14347" width="13.5" style="3" customWidth="1"/>
    <col min="14348" max="14348" width="5.375" style="3" customWidth="1"/>
    <col min="14349" max="14593" width="9" style="3"/>
    <col min="14594" max="14594" width="14.75" style="3" customWidth="1"/>
    <col min="14595" max="14595" width="26" style="3" customWidth="1"/>
    <col min="14596" max="14596" width="15.125" style="3" customWidth="1"/>
    <col min="14597" max="14597" width="15.375" style="3" customWidth="1"/>
    <col min="14598" max="14598" width="12.375" style="3" customWidth="1"/>
    <col min="14599" max="14599" width="10.875" style="3" customWidth="1"/>
    <col min="14600" max="14600" width="11.375" style="3" customWidth="1"/>
    <col min="14601" max="14601" width="10.75" style="3" customWidth="1"/>
    <col min="14602" max="14602" width="9.25" style="3" customWidth="1"/>
    <col min="14603" max="14603" width="13.5" style="3" customWidth="1"/>
    <col min="14604" max="14604" width="5.375" style="3" customWidth="1"/>
    <col min="14605" max="14849" width="9" style="3"/>
    <col min="14850" max="14850" width="14.75" style="3" customWidth="1"/>
    <col min="14851" max="14851" width="26" style="3" customWidth="1"/>
    <col min="14852" max="14852" width="15.125" style="3" customWidth="1"/>
    <col min="14853" max="14853" width="15.375" style="3" customWidth="1"/>
    <col min="14854" max="14854" width="12.375" style="3" customWidth="1"/>
    <col min="14855" max="14855" width="10.875" style="3" customWidth="1"/>
    <col min="14856" max="14856" width="11.375" style="3" customWidth="1"/>
    <col min="14857" max="14857" width="10.75" style="3" customWidth="1"/>
    <col min="14858" max="14858" width="9.25" style="3" customWidth="1"/>
    <col min="14859" max="14859" width="13.5" style="3" customWidth="1"/>
    <col min="14860" max="14860" width="5.375" style="3" customWidth="1"/>
    <col min="14861" max="15105" width="9" style="3"/>
    <col min="15106" max="15106" width="14.75" style="3" customWidth="1"/>
    <col min="15107" max="15107" width="26" style="3" customWidth="1"/>
    <col min="15108" max="15108" width="15.125" style="3" customWidth="1"/>
    <col min="15109" max="15109" width="15.375" style="3" customWidth="1"/>
    <col min="15110" max="15110" width="12.375" style="3" customWidth="1"/>
    <col min="15111" max="15111" width="10.875" style="3" customWidth="1"/>
    <col min="15112" max="15112" width="11.375" style="3" customWidth="1"/>
    <col min="15113" max="15113" width="10.75" style="3" customWidth="1"/>
    <col min="15114" max="15114" width="9.25" style="3" customWidth="1"/>
    <col min="15115" max="15115" width="13.5" style="3" customWidth="1"/>
    <col min="15116" max="15116" width="5.375" style="3" customWidth="1"/>
    <col min="15117" max="15361" width="9" style="3"/>
    <col min="15362" max="15362" width="14.75" style="3" customWidth="1"/>
    <col min="15363" max="15363" width="26" style="3" customWidth="1"/>
    <col min="15364" max="15364" width="15.125" style="3" customWidth="1"/>
    <col min="15365" max="15365" width="15.375" style="3" customWidth="1"/>
    <col min="15366" max="15366" width="12.375" style="3" customWidth="1"/>
    <col min="15367" max="15367" width="10.875" style="3" customWidth="1"/>
    <col min="15368" max="15368" width="11.375" style="3" customWidth="1"/>
    <col min="15369" max="15369" width="10.75" style="3" customWidth="1"/>
    <col min="15370" max="15370" width="9.25" style="3" customWidth="1"/>
    <col min="15371" max="15371" width="13.5" style="3" customWidth="1"/>
    <col min="15372" max="15372" width="5.375" style="3" customWidth="1"/>
    <col min="15373" max="15617" width="9" style="3"/>
    <col min="15618" max="15618" width="14.75" style="3" customWidth="1"/>
    <col min="15619" max="15619" width="26" style="3" customWidth="1"/>
    <col min="15620" max="15620" width="15.125" style="3" customWidth="1"/>
    <col min="15621" max="15621" width="15.375" style="3" customWidth="1"/>
    <col min="15622" max="15622" width="12.375" style="3" customWidth="1"/>
    <col min="15623" max="15623" width="10.875" style="3" customWidth="1"/>
    <col min="15624" max="15624" width="11.375" style="3" customWidth="1"/>
    <col min="15625" max="15625" width="10.75" style="3" customWidth="1"/>
    <col min="15626" max="15626" width="9.25" style="3" customWidth="1"/>
    <col min="15627" max="15627" width="13.5" style="3" customWidth="1"/>
    <col min="15628" max="15628" width="5.375" style="3" customWidth="1"/>
    <col min="15629" max="15873" width="9" style="3"/>
    <col min="15874" max="15874" width="14.75" style="3" customWidth="1"/>
    <col min="15875" max="15875" width="26" style="3" customWidth="1"/>
    <col min="15876" max="15876" width="15.125" style="3" customWidth="1"/>
    <col min="15877" max="15877" width="15.375" style="3" customWidth="1"/>
    <col min="15878" max="15878" width="12.375" style="3" customWidth="1"/>
    <col min="15879" max="15879" width="10.875" style="3" customWidth="1"/>
    <col min="15880" max="15880" width="11.375" style="3" customWidth="1"/>
    <col min="15881" max="15881" width="10.75" style="3" customWidth="1"/>
    <col min="15882" max="15882" width="9.25" style="3" customWidth="1"/>
    <col min="15883" max="15883" width="13.5" style="3" customWidth="1"/>
    <col min="15884" max="15884" width="5.375" style="3" customWidth="1"/>
    <col min="15885" max="16129" width="9" style="3"/>
    <col min="16130" max="16130" width="14.75" style="3" customWidth="1"/>
    <col min="16131" max="16131" width="26" style="3" customWidth="1"/>
    <col min="16132" max="16132" width="15.125" style="3" customWidth="1"/>
    <col min="16133" max="16133" width="15.375" style="3" customWidth="1"/>
    <col min="16134" max="16134" width="12.375" style="3" customWidth="1"/>
    <col min="16135" max="16135" width="10.875" style="3" customWidth="1"/>
    <col min="16136" max="16136" width="11.375" style="3" customWidth="1"/>
    <col min="16137" max="16137" width="10.75" style="3" customWidth="1"/>
    <col min="16138" max="16138" width="9.25" style="3" customWidth="1"/>
    <col min="16139" max="16139" width="13.5" style="3" customWidth="1"/>
    <col min="16140" max="16140" width="5.375" style="3" customWidth="1"/>
    <col min="16141" max="16384" width="9" style="3"/>
  </cols>
  <sheetData>
    <row r="1" ht="43" customHeight="1" spans="1:18">
      <c r="A1" s="5" t="str">
        <f>'commercial invoice'!A1</f>
        <v>GREAT SHINE HOUSEWARE LTD</v>
      </c>
      <c r="B1" s="5"/>
      <c r="C1" s="5"/>
      <c r="D1" s="5"/>
      <c r="E1" s="5"/>
      <c r="F1" s="5"/>
      <c r="G1" s="6"/>
      <c r="H1" s="5"/>
      <c r="I1" s="5"/>
      <c r="J1" s="5"/>
      <c r="K1" s="5"/>
      <c r="L1" s="5"/>
      <c r="M1" s="7"/>
      <c r="N1" s="7"/>
      <c r="O1" s="7"/>
      <c r="P1" s="7"/>
      <c r="Q1" s="7"/>
      <c r="R1" s="7"/>
    </row>
    <row r="2" ht="38" customHeight="1" spans="1:18">
      <c r="A2" s="8" t="str">
        <f>'commercial invoice'!A2</f>
        <v>ROOM 506, Building 2, No. 58 Tanzhu Road, Minhang District, Shanghai 201108</v>
      </c>
      <c r="B2" s="8"/>
      <c r="C2" s="8"/>
      <c r="D2" s="8"/>
      <c r="E2" s="8"/>
      <c r="F2" s="8"/>
      <c r="G2" s="9"/>
      <c r="H2" s="8"/>
      <c r="I2" s="8"/>
      <c r="J2" s="8"/>
      <c r="K2" s="8"/>
      <c r="L2" s="8"/>
      <c r="M2" s="10"/>
      <c r="N2" s="10"/>
      <c r="O2" s="10"/>
      <c r="P2" s="10"/>
      <c r="Q2" s="10"/>
      <c r="R2" s="10"/>
    </row>
    <row r="3" ht="15.75" spans="1:18">
      <c r="A3" s="11"/>
      <c r="B3" s="11"/>
      <c r="C3" s="11"/>
      <c r="D3" s="11"/>
      <c r="E3" s="11"/>
      <c r="F3" s="11"/>
      <c r="G3" s="12"/>
      <c r="H3" s="11"/>
      <c r="I3" s="11"/>
      <c r="J3" s="11"/>
      <c r="K3" s="11"/>
      <c r="L3" s="11"/>
    </row>
    <row r="4" ht="19.25" spans="1:18">
      <c r="A4" s="13"/>
      <c r="B4" s="13"/>
      <c r="C4" s="14"/>
      <c r="D4" s="14"/>
      <c r="F4" s="14"/>
      <c r="G4" s="15"/>
      <c r="H4" s="14"/>
      <c r="I4" s="14"/>
      <c r="J4" s="14"/>
      <c r="K4" s="14"/>
      <c r="L4" s="14"/>
      <c r="M4" s="14"/>
    </row>
    <row r="5" spans="1:18">
      <c r="C5" s="14"/>
      <c r="D5" s="14"/>
      <c r="E5" s="16"/>
      <c r="F5" s="14"/>
      <c r="G5" s="15"/>
      <c r="H5" s="14"/>
      <c r="I5" s="14"/>
      <c r="J5" s="14"/>
      <c r="K5" s="14"/>
      <c r="L5" s="14"/>
      <c r="M5" s="14"/>
    </row>
    <row r="6" ht="27.5" spans="1:18">
      <c r="A6" s="17" t="s">
        <v>63</v>
      </c>
      <c r="B6" s="17"/>
      <c r="C6" s="17"/>
      <c r="D6" s="17"/>
      <c r="E6" s="17"/>
      <c r="F6" s="17"/>
      <c r="G6" s="18"/>
      <c r="H6" s="17"/>
      <c r="I6" s="17"/>
      <c r="J6" s="17"/>
      <c r="K6" s="17"/>
      <c r="L6" s="17"/>
      <c r="M6" s="19"/>
      <c r="N6" s="20"/>
    </row>
    <row r="7" ht="27.5" spans="1:18">
      <c r="A7" s="17"/>
      <c r="B7" s="17"/>
      <c r="C7" s="21"/>
      <c r="D7" s="21"/>
      <c r="E7" s="21"/>
      <c r="F7" s="21"/>
      <c r="G7" s="22"/>
      <c r="H7" s="21"/>
      <c r="I7" s="21"/>
      <c r="J7" s="21"/>
      <c r="K7" s="21"/>
      <c r="L7" s="23"/>
      <c r="M7" s="23"/>
      <c r="N7" s="20"/>
    </row>
    <row r="8" ht="21" spans="1:18">
      <c r="A8" s="24"/>
      <c r="B8" s="24"/>
      <c r="C8" s="25"/>
      <c r="D8" s="25"/>
      <c r="E8" s="25"/>
      <c r="F8" s="25"/>
      <c r="G8" s="26"/>
      <c r="H8" s="20"/>
      <c r="I8" s="20"/>
      <c r="J8" s="20"/>
      <c r="K8" s="20"/>
      <c r="L8" s="20"/>
      <c r="M8" s="20"/>
      <c r="N8" s="20"/>
    </row>
    <row r="9" ht="42" customHeight="1" spans="1:18">
      <c r="A9" s="27" t="s">
        <v>3</v>
      </c>
      <c r="B9" s="28" t="str">
        <f>'commercial invoice'!B9</f>
        <v>GREAT SHINE HOUSEWARE LTD</v>
      </c>
      <c r="C9" s="28"/>
      <c r="D9" s="28"/>
      <c r="E9" s="29"/>
      <c r="F9" s="30"/>
      <c r="H9" s="30"/>
      <c r="I9" s="30"/>
      <c r="J9" s="31" t="s">
        <v>64</v>
      </c>
      <c r="K9" s="32" t="str">
        <f>'commercial invoice'!I9</f>
        <v>COZ-363(COZ-355-363-365)</v>
      </c>
      <c r="L9" s="32"/>
      <c r="N9" s="20"/>
    </row>
    <row r="10" ht="23" customHeight="1" spans="1:18">
      <c r="A10" s="27"/>
      <c r="B10" s="28" t="str">
        <f>'commercial invoice'!B10</f>
        <v>ROOM 506, Building 2, No. 58 Tanzhu Road,</v>
      </c>
      <c r="C10" s="28"/>
      <c r="D10" s="28"/>
      <c r="E10" s="29"/>
      <c r="F10" s="30"/>
      <c r="H10" s="30"/>
      <c r="I10" s="30"/>
      <c r="J10" s="31" t="s">
        <v>65</v>
      </c>
      <c r="K10" s="33" t="s">
        <v>66</v>
      </c>
      <c r="L10" s="34"/>
      <c r="N10" s="20"/>
    </row>
    <row r="11" ht="23" customHeight="1" spans="1:18">
      <c r="A11" s="27"/>
      <c r="B11" s="35" t="str">
        <f>'commercial invoice'!B11</f>
        <v>Minhang District, Shanghai 201108, China</v>
      </c>
      <c r="C11" s="35"/>
      <c r="D11" s="35"/>
      <c r="E11" s="29"/>
      <c r="H11" s="30"/>
      <c r="I11" s="30"/>
      <c r="J11" s="31" t="s">
        <v>67</v>
      </c>
      <c r="K11" s="33" t="s">
        <v>68</v>
      </c>
      <c r="L11" s="34"/>
      <c r="N11" s="20"/>
    </row>
    <row r="12" ht="23" customHeight="1" spans="1:18">
      <c r="A12" s="27"/>
      <c r="B12" s="36"/>
      <c r="C12" s="36"/>
      <c r="D12" s="37"/>
      <c r="E12" s="20"/>
      <c r="F12" s="30"/>
      <c r="H12" s="30"/>
      <c r="I12" s="30"/>
      <c r="J12" s="31" t="s">
        <v>69</v>
      </c>
      <c r="K12" s="38" t="s">
        <v>70</v>
      </c>
      <c r="L12" s="38"/>
      <c r="M12" s="30"/>
      <c r="N12" s="20"/>
    </row>
    <row r="13" ht="23" customHeight="1" spans="1:18">
      <c r="A13" s="30" t="s">
        <v>71</v>
      </c>
      <c r="B13" s="28" t="str">
        <f>'commercial invoice'!B13</f>
        <v>Sanders Collection Inc.</v>
      </c>
      <c r="C13" s="28"/>
      <c r="D13" s="28"/>
      <c r="E13" s="29"/>
      <c r="H13" s="30"/>
      <c r="I13" s="30"/>
      <c r="J13" s="31" t="s">
        <v>72</v>
      </c>
      <c r="K13" s="38" t="s">
        <v>73</v>
      </c>
      <c r="L13" s="38"/>
      <c r="N13" s="20"/>
    </row>
    <row r="14" ht="23" customHeight="1" spans="1:18">
      <c r="A14" s="30"/>
      <c r="B14" s="28" t="str">
        <f>'commercial invoice'!B14</f>
        <v>10 Hilda Lane, Monsey, NY 10952 , USA</v>
      </c>
      <c r="C14" s="28"/>
      <c r="D14" s="28"/>
      <c r="E14" s="29"/>
      <c r="H14" s="30"/>
      <c r="I14" s="30"/>
      <c r="J14" s="31" t="s">
        <v>74</v>
      </c>
      <c r="K14" s="39">
        <v>46290</v>
      </c>
      <c r="L14" s="39"/>
      <c r="N14" s="20"/>
    </row>
    <row r="15" ht="23" customHeight="1" spans="1:18">
      <c r="A15" s="30"/>
      <c r="B15" s="35" t="str">
        <f>'commercial invoice'!B15</f>
        <v>Eli Eleifer</v>
      </c>
      <c r="C15" s="35"/>
      <c r="D15" s="35"/>
      <c r="E15" s="29"/>
      <c r="F15" s="30"/>
      <c r="H15" s="30"/>
      <c r="I15" s="30"/>
      <c r="J15" s="31" t="s">
        <v>75</v>
      </c>
      <c r="K15" s="39">
        <v>46294</v>
      </c>
      <c r="L15" s="39"/>
      <c r="M15" s="30"/>
      <c r="N15" s="20"/>
    </row>
    <row r="16" ht="22.75" customHeight="1" spans="1:18">
      <c r="A16" s="30"/>
      <c r="B16" s="40"/>
      <c r="C16" s="36"/>
      <c r="D16" s="37"/>
      <c r="E16" s="29"/>
      <c r="F16" s="30"/>
      <c r="G16" s="41"/>
      <c r="H16" s="41"/>
      <c r="I16" s="41"/>
      <c r="J16" s="41"/>
      <c r="K16" s="42"/>
      <c r="L16" s="42"/>
      <c r="M16" s="30"/>
      <c r="N16" s="20"/>
    </row>
    <row r="17" ht="22.75" customHeight="1" spans="1:14">
      <c r="A17" s="30" t="s">
        <v>76</v>
      </c>
      <c r="B17" s="35" t="s">
        <v>77</v>
      </c>
      <c r="C17" s="35"/>
      <c r="D17" s="35"/>
      <c r="E17" s="29"/>
      <c r="F17" s="30"/>
      <c r="M17" s="30"/>
      <c r="N17" s="20"/>
    </row>
    <row r="18" ht="21" spans="1:14">
      <c r="A18" s="30"/>
      <c r="B18" s="30"/>
      <c r="C18" s="43"/>
      <c r="D18" s="43"/>
      <c r="E18" s="44"/>
      <c r="F18" s="20"/>
      <c r="G18" s="45"/>
      <c r="H18" s="30"/>
      <c r="I18" s="24"/>
      <c r="J18" s="24"/>
      <c r="K18" s="24"/>
      <c r="L18" s="44"/>
      <c r="M18" s="46"/>
      <c r="N18" s="20"/>
    </row>
    <row r="19" ht="21" customHeight="1" spans="1:14">
      <c r="A19" s="47" t="s">
        <v>14</v>
      </c>
      <c r="B19" s="47" t="s">
        <v>15</v>
      </c>
      <c r="C19" s="47" t="s">
        <v>16</v>
      </c>
      <c r="D19" s="48" t="s">
        <v>17</v>
      </c>
      <c r="E19" s="47" t="s">
        <v>18</v>
      </c>
      <c r="F19" s="49" t="s">
        <v>19</v>
      </c>
      <c r="G19" s="50" t="s">
        <v>20</v>
      </c>
      <c r="H19" s="47" t="s">
        <v>78</v>
      </c>
      <c r="I19" s="47" t="s">
        <v>22</v>
      </c>
      <c r="J19" s="47" t="s">
        <v>79</v>
      </c>
      <c r="K19" s="47" t="s">
        <v>22</v>
      </c>
      <c r="L19" s="47" t="s">
        <v>23</v>
      </c>
      <c r="M19" s="20"/>
    </row>
    <row r="20" ht="21" spans="1:14">
      <c r="A20" s="47"/>
      <c r="B20" s="47"/>
      <c r="C20" s="47"/>
      <c r="D20" s="48"/>
      <c r="E20" s="47" t="s">
        <v>24</v>
      </c>
      <c r="F20" s="49"/>
      <c r="G20" s="50" t="s">
        <v>25</v>
      </c>
      <c r="H20" s="47" t="s">
        <v>80</v>
      </c>
      <c r="I20" s="47" t="s">
        <v>78</v>
      </c>
      <c r="J20" s="47" t="s">
        <v>80</v>
      </c>
      <c r="K20" s="47" t="s">
        <v>79</v>
      </c>
      <c r="L20" s="47" t="s">
        <v>28</v>
      </c>
      <c r="M20" s="20"/>
    </row>
    <row r="21" ht="21" customHeight="1" spans="1:14">
      <c r="A21" s="47"/>
      <c r="B21" s="47"/>
      <c r="C21" s="47"/>
      <c r="D21" s="48"/>
      <c r="E21" s="47"/>
      <c r="F21" s="49"/>
      <c r="G21" s="51"/>
      <c r="H21" s="47"/>
      <c r="I21" s="47" t="s">
        <v>80</v>
      </c>
      <c r="J21" s="47"/>
      <c r="K21" s="47" t="s">
        <v>80</v>
      </c>
      <c r="L21" s="47" t="s">
        <v>29</v>
      </c>
      <c r="M21" s="20"/>
    </row>
    <row r="22" s="1" customFormat="1" ht="48" customHeight="1" spans="1:14">
      <c r="A22" s="52" t="str">
        <f>'commercial invoice'!A21</f>
        <v>COZ-355</v>
      </c>
      <c r="B22" s="52" t="str">
        <f>'commercial invoice'!B21</f>
        <v>HH-CB-WRMGRY</v>
      </c>
      <c r="C22" s="52" t="str">
        <f>'commercial invoice'!C21</f>
        <v>Outside:Canvas with PEVA,3 pockets Inside:Peach skin velvet</v>
      </c>
      <c r="D22" s="52" t="str">
        <f>'commercial invoice'!D21</f>
        <v>58*30*60</v>
      </c>
      <c r="E22" s="52">
        <f>'commercial invoice'!E21</f>
        <v>1008</v>
      </c>
      <c r="F22" s="53">
        <f>'commercial invoice'!F21</f>
        <v>0.1044</v>
      </c>
      <c r="G22" s="52">
        <f>'commercial invoice'!G21</f>
        <v>4.3848</v>
      </c>
      <c r="H22" s="54">
        <v>13.2</v>
      </c>
      <c r="I22" s="54">
        <f>H22*L22</f>
        <v>554.4</v>
      </c>
      <c r="J22" s="54">
        <v>12</v>
      </c>
      <c r="K22" s="55">
        <f t="shared" ref="K22:K32" si="0">J22*L22</f>
        <v>504</v>
      </c>
      <c r="L22" s="52">
        <f>'commercial invoice'!J21</f>
        <v>42</v>
      </c>
      <c r="M22" s="56"/>
    </row>
    <row r="23" s="1" customFormat="1" ht="48" customHeight="1" spans="1:14">
      <c r="A23" s="52" t="str">
        <f>'commercial invoice'!A22</f>
        <v>COZ-355</v>
      </c>
      <c r="B23" s="52" t="str">
        <f>'commercial invoice'!B22</f>
        <v>HH-CB-SGEGRN</v>
      </c>
      <c r="C23" s="52" t="str">
        <f>'commercial invoice'!C22</f>
        <v>Outside:Canvas with PEVA,3 pockets Inside:Peach skin velvet</v>
      </c>
      <c r="D23" s="52" t="str">
        <f>'commercial invoice'!D22</f>
        <v>60*30*58</v>
      </c>
      <c r="E23" s="52">
        <f>'commercial invoice'!E22</f>
        <v>3768</v>
      </c>
      <c r="F23" s="53">
        <f>'commercial invoice'!F22</f>
        <v>0.1044</v>
      </c>
      <c r="G23" s="52">
        <f>'commercial invoice'!G22</f>
        <v>16.3908</v>
      </c>
      <c r="H23" s="54">
        <v>13.2</v>
      </c>
      <c r="I23" s="54">
        <f t="shared" ref="I23:I32" si="1">H23*L23</f>
        <v>2072.4</v>
      </c>
      <c r="J23" s="54">
        <v>12</v>
      </c>
      <c r="K23" s="55">
        <f t="shared" si="0"/>
        <v>1884</v>
      </c>
      <c r="L23" s="52">
        <f>'commercial invoice'!J22</f>
        <v>157</v>
      </c>
      <c r="M23" s="56"/>
    </row>
    <row r="24" s="1" customFormat="1" ht="48" customHeight="1" spans="1:14">
      <c r="A24" s="52" t="str">
        <f>'commercial invoice'!A23</f>
        <v>COZ-363</v>
      </c>
      <c r="B24" s="52" t="str">
        <f>'commercial invoice'!B23</f>
        <v>SB-HDS-05-BG-V2</v>
      </c>
      <c r="C24" s="52" t="str">
        <f>'commercial invoice'!C23</f>
        <v>Outer polyester yarn dyed
Inisde: nonwoven+Down imitation fiber+polyester
paper board 2.0mm</v>
      </c>
      <c r="D24" s="52" t="str">
        <f>'commercial invoice'!D23</f>
        <v>43*30*40</v>
      </c>
      <c r="E24" s="52">
        <f>'commercial invoice'!E23</f>
        <v>2190</v>
      </c>
      <c r="F24" s="53">
        <f>'commercial invoice'!F23</f>
        <v>0.0516</v>
      </c>
      <c r="G24" s="52">
        <f>'commercial invoice'!G23</f>
        <v>7.5336</v>
      </c>
      <c r="H24" s="54">
        <v>13.2</v>
      </c>
      <c r="I24" s="54">
        <f t="shared" si="1"/>
        <v>1927.2</v>
      </c>
      <c r="J24" s="54">
        <v>12</v>
      </c>
      <c r="K24" s="55">
        <f t="shared" si="0"/>
        <v>1752</v>
      </c>
      <c r="L24" s="52">
        <f>'commercial invoice'!J23</f>
        <v>146</v>
      </c>
      <c r="M24" s="56"/>
    </row>
    <row r="25" s="1" customFormat="1" ht="48" customHeight="1" spans="1:14">
      <c r="A25" s="52" t="str">
        <f>'commercial invoice'!A24</f>
        <v>COZ-363</v>
      </c>
      <c r="B25" s="52" t="str">
        <f>'commercial invoice'!B24</f>
        <v>SB-HDS-05-V2</v>
      </c>
      <c r="C25" s="52" t="str">
        <f>'commercial invoice'!C24</f>
        <v>Outer polyester yarn dyed
Inisde: nonwoven+Down imitation fiber+polyester
paper board 2.0mm</v>
      </c>
      <c r="D25" s="52" t="str">
        <f>'commercial invoice'!D24</f>
        <v>43*30*40</v>
      </c>
      <c r="E25" s="52">
        <f>'commercial invoice'!E24</f>
        <v>6000</v>
      </c>
      <c r="F25" s="53">
        <f>'commercial invoice'!F24</f>
        <v>0.0516</v>
      </c>
      <c r="G25" s="52">
        <f>'commercial invoice'!G24</f>
        <v>20.64</v>
      </c>
      <c r="H25" s="54">
        <v>13.2</v>
      </c>
      <c r="I25" s="54">
        <f t="shared" si="1"/>
        <v>5280</v>
      </c>
      <c r="J25" s="54">
        <v>12</v>
      </c>
      <c r="K25" s="55">
        <f t="shared" si="0"/>
        <v>4800</v>
      </c>
      <c r="L25" s="52">
        <f>'commercial invoice'!J24</f>
        <v>400</v>
      </c>
      <c r="M25" s="56"/>
    </row>
    <row r="26" s="1" customFormat="1" ht="48" customHeight="1" spans="1:14">
      <c r="A26" s="52" t="str">
        <f>'commercial invoice'!A25</f>
        <v>COZ-363</v>
      </c>
      <c r="B26" s="52" t="str">
        <f>'commercial invoice'!B25</f>
        <v>SB-STRGBNCH-15IN-BRN-LTHR</v>
      </c>
      <c r="C26" s="52" t="str">
        <f>'commercial invoice'!C25</f>
        <v>Leather, MDF Board; Non- woven fabric, Paper Board</v>
      </c>
      <c r="D26" s="52" t="str">
        <f>'commercial invoice'!D25</f>
        <v>47*33.3*40</v>
      </c>
      <c r="E26" s="52">
        <f>'commercial invoice'!E25</f>
        <v>200</v>
      </c>
      <c r="F26" s="53">
        <f>'commercial invoice'!F25</f>
        <v>0.062604</v>
      </c>
      <c r="G26" s="52">
        <f>'commercial invoice'!G25</f>
        <v>3.1302</v>
      </c>
      <c r="H26" s="54">
        <v>17.66</v>
      </c>
      <c r="I26" s="54">
        <f t="shared" si="1"/>
        <v>883</v>
      </c>
      <c r="J26" s="54">
        <v>15.5</v>
      </c>
      <c r="K26" s="55">
        <f t="shared" si="0"/>
        <v>775</v>
      </c>
      <c r="L26" s="52">
        <f>'commercial invoice'!J25</f>
        <v>50</v>
      </c>
      <c r="M26" s="56"/>
    </row>
    <row r="27" s="1" customFormat="1" ht="48" customHeight="1" spans="1:14">
      <c r="A27" s="52" t="str">
        <f>'commercial invoice'!A26</f>
        <v>COZ-363</v>
      </c>
      <c r="B27" s="52" t="str">
        <f>'commercial invoice'!B26</f>
        <v>SB-STRGBNCH-30IN-PNK-LTHR</v>
      </c>
      <c r="C27" s="52" t="str">
        <f>'commercial invoice'!C26</f>
        <v>Boucle fabric +MDF board+non-woven fabric</v>
      </c>
      <c r="D27" s="52" t="str">
        <f>'commercial invoice'!D26</f>
        <v>83*39*7</v>
      </c>
      <c r="E27" s="52">
        <f>'commercial invoice'!E26</f>
        <v>70</v>
      </c>
      <c r="F27" s="53">
        <f>'commercial invoice'!F26</f>
        <v>0.022659</v>
      </c>
      <c r="G27" s="52">
        <f>'commercial invoice'!G26</f>
        <v>1.58613</v>
      </c>
      <c r="H27" s="54">
        <v>7.8</v>
      </c>
      <c r="I27" s="54">
        <f t="shared" si="1"/>
        <v>546</v>
      </c>
      <c r="J27" s="54">
        <v>6.9</v>
      </c>
      <c r="K27" s="55">
        <f t="shared" si="0"/>
        <v>483</v>
      </c>
      <c r="L27" s="52">
        <f>'commercial invoice'!J26</f>
        <v>70</v>
      </c>
      <c r="M27" s="56"/>
    </row>
    <row r="28" s="1" customFormat="1" ht="48" customHeight="1" spans="1:14">
      <c r="A28" s="52" t="str">
        <f>'commercial invoice'!A27</f>
        <v>COZ-363</v>
      </c>
      <c r="B28" s="52" t="str">
        <f>'commercial invoice'!B27</f>
        <v>SB-STRGBNCH-15IN-GRN-FBRC</v>
      </c>
      <c r="C28" s="52" t="str">
        <f>'commercial invoice'!C27</f>
        <v>Boucle fabric +MDF board+non-woven fabric</v>
      </c>
      <c r="D28" s="52" t="str">
        <f>'commercial invoice'!D27</f>
        <v>47*33*40</v>
      </c>
      <c r="E28" s="52">
        <f>'commercial invoice'!E27</f>
        <v>52</v>
      </c>
      <c r="F28" s="53">
        <f>'commercial invoice'!F27</f>
        <v>0.06204</v>
      </c>
      <c r="G28" s="52">
        <f>'commercial invoice'!G27</f>
        <v>0.80652</v>
      </c>
      <c r="H28" s="54">
        <v>17.32</v>
      </c>
      <c r="I28" s="54">
        <f t="shared" si="1"/>
        <v>225.16</v>
      </c>
      <c r="J28" s="54">
        <v>16.72</v>
      </c>
      <c r="K28" s="55">
        <f t="shared" si="0"/>
        <v>217.36</v>
      </c>
      <c r="L28" s="52">
        <f>'commercial invoice'!J27</f>
        <v>13</v>
      </c>
      <c r="M28" s="56"/>
    </row>
    <row r="29" s="1" customFormat="1" ht="48" customHeight="1" spans="1:14">
      <c r="A29" s="52" t="str">
        <f>'commercial invoice'!A28</f>
        <v>COZ-363</v>
      </c>
      <c r="B29" s="52" t="str">
        <f>'commercial invoice'!B28</f>
        <v>SB-STRGBNCH-43IN-GRN-VLVT</v>
      </c>
      <c r="C29" s="52" t="str">
        <f>'commercial invoice'!C28</f>
        <v>Boucle fabric +MDF board+non-woven fabric</v>
      </c>
      <c r="D29" s="52" t="str">
        <f>'commercial invoice'!D28</f>
        <v>117*39*7.5</v>
      </c>
      <c r="E29" s="52">
        <f>'commercial invoice'!E28</f>
        <v>200</v>
      </c>
      <c r="F29" s="53">
        <f>'commercial invoice'!F28</f>
        <v>0.0342225</v>
      </c>
      <c r="G29" s="52">
        <f>'commercial invoice'!G28</f>
        <v>6.8445</v>
      </c>
      <c r="H29" s="54">
        <v>11.2</v>
      </c>
      <c r="I29" s="54">
        <f t="shared" si="1"/>
        <v>2240</v>
      </c>
      <c r="J29" s="54">
        <v>10.46</v>
      </c>
      <c r="K29" s="55">
        <f t="shared" si="0"/>
        <v>2092</v>
      </c>
      <c r="L29" s="52">
        <f>'commercial invoice'!J28</f>
        <v>200</v>
      </c>
      <c r="M29" s="56"/>
    </row>
    <row r="30" s="1" customFormat="1" ht="48" customHeight="1" spans="1:14">
      <c r="A30" s="52" t="str">
        <f>'commercial invoice'!A29</f>
        <v>COZ-363</v>
      </c>
      <c r="B30" s="52" t="str">
        <f>'commercial invoice'!B29</f>
        <v>SB-STRGBNCH-43IN-LTGRY-LTHR</v>
      </c>
      <c r="C30" s="52" t="str">
        <f>'commercial invoice'!C29</f>
        <v>Boucle fabric +MDF board+non-woven fabric</v>
      </c>
      <c r="D30" s="52" t="str">
        <f>'commercial invoice'!D29</f>
        <v>117*38.5*7.5</v>
      </c>
      <c r="E30" s="52">
        <f>'commercial invoice'!E29</f>
        <v>50</v>
      </c>
      <c r="F30" s="53">
        <f>'commercial invoice'!F29</f>
        <v>0.03378375</v>
      </c>
      <c r="G30" s="52">
        <f>'commercial invoice'!G29</f>
        <v>1.6891875</v>
      </c>
      <c r="H30" s="54">
        <v>11.2</v>
      </c>
      <c r="I30" s="54">
        <f t="shared" si="1"/>
        <v>560</v>
      </c>
      <c r="J30" s="54">
        <v>10.46</v>
      </c>
      <c r="K30" s="55">
        <f t="shared" si="0"/>
        <v>523</v>
      </c>
      <c r="L30" s="52">
        <f>'commercial invoice'!J29</f>
        <v>50</v>
      </c>
      <c r="M30" s="56"/>
    </row>
    <row r="31" s="1" customFormat="1" ht="48" customHeight="1" spans="1:14">
      <c r="A31" s="52" t="str">
        <f>'commercial invoice'!A30</f>
        <v>COZ-365</v>
      </c>
      <c r="B31" s="52" t="str">
        <f>'commercial invoice'!B30</f>
        <v>HH-CB</v>
      </c>
      <c r="C31" s="52" t="str">
        <f>'commercial invoice'!C30</f>
        <v>Outside:Canvas with PEVA,3 pockets Inside:Peach skin velvet</v>
      </c>
      <c r="D31" s="52" t="str">
        <f>'commercial invoice'!D30</f>
        <v>58*30*60</v>
      </c>
      <c r="E31" s="52">
        <f>'commercial invoice'!E30</f>
        <v>168</v>
      </c>
      <c r="F31" s="53">
        <f>'commercial invoice'!F30</f>
        <v>0.1044</v>
      </c>
      <c r="G31" s="52">
        <f>'commercial invoice'!G30</f>
        <v>0.7308</v>
      </c>
      <c r="H31" s="54">
        <v>10.3</v>
      </c>
      <c r="I31" s="54">
        <f t="shared" si="1"/>
        <v>72.1</v>
      </c>
      <c r="J31" s="54">
        <v>9.4</v>
      </c>
      <c r="K31" s="55">
        <f t="shared" si="0"/>
        <v>65.8</v>
      </c>
      <c r="L31" s="52">
        <f>'commercial invoice'!J30</f>
        <v>7</v>
      </c>
      <c r="M31" s="56"/>
    </row>
    <row r="32" s="1" customFormat="1" ht="48" customHeight="1" spans="1:14">
      <c r="A32" s="52" t="str">
        <f>'commercial invoice'!A31</f>
        <v>COZ-365</v>
      </c>
      <c r="B32" s="52" t="str">
        <f>'commercial invoice'!B31</f>
        <v>HH-CB-MSTRD</v>
      </c>
      <c r="C32" s="52" t="str">
        <f>'commercial invoice'!C31</f>
        <v>Outside:Canvas with PEVA,3 pockets Inside:Peach skin velvet</v>
      </c>
      <c r="D32" s="52" t="str">
        <f>'commercial invoice'!D31</f>
        <v>58*30*60</v>
      </c>
      <c r="E32" s="52">
        <f>'commercial invoice'!E31</f>
        <v>24</v>
      </c>
      <c r="F32" s="53">
        <f>'commercial invoice'!F31</f>
        <v>0.1044</v>
      </c>
      <c r="G32" s="52">
        <f>'commercial invoice'!G31</f>
        <v>0.1044</v>
      </c>
      <c r="H32" s="54">
        <v>10.3</v>
      </c>
      <c r="I32" s="54">
        <f t="shared" si="1"/>
        <v>10.3</v>
      </c>
      <c r="J32" s="54">
        <v>9.4</v>
      </c>
      <c r="K32" s="55">
        <f t="shared" si="0"/>
        <v>9.4</v>
      </c>
      <c r="L32" s="52">
        <f>'commercial invoice'!J31</f>
        <v>1</v>
      </c>
      <c r="M32" s="56"/>
    </row>
    <row r="33" s="1" customFormat="1" ht="24" customHeight="1" spans="1:19">
      <c r="A33" s="52"/>
      <c r="B33" s="52"/>
      <c r="C33" s="52"/>
      <c r="D33" s="52"/>
      <c r="E33" s="57"/>
      <c r="F33" s="53"/>
      <c r="G33" s="54"/>
      <c r="H33" s="54"/>
      <c r="I33" s="54"/>
      <c r="J33" s="54"/>
      <c r="K33" s="55"/>
      <c r="L33" s="52"/>
      <c r="M33" s="56"/>
    </row>
    <row r="34" s="2" customFormat="1" ht="39" customHeight="1" spans="1:19">
      <c r="A34" s="58"/>
      <c r="B34" s="58"/>
      <c r="C34" s="58"/>
      <c r="D34" s="58" t="s">
        <v>20</v>
      </c>
      <c r="E34" s="58">
        <f>SUM(E22:E33)</f>
        <v>13730</v>
      </c>
      <c r="F34" s="58"/>
      <c r="G34" s="58">
        <f>SUM(G22:G33)</f>
        <v>63.8409375</v>
      </c>
      <c r="H34" s="58"/>
      <c r="I34" s="58">
        <f>SUM(I22:I33)</f>
        <v>14370.56</v>
      </c>
      <c r="J34" s="58"/>
      <c r="K34" s="59">
        <f>SUM(K22:K33)</f>
        <v>13105.56</v>
      </c>
      <c r="L34" s="60">
        <f>SUM(L22:L33)</f>
        <v>1136</v>
      </c>
      <c r="M34" s="61"/>
    </row>
    <row r="35" ht="44.1" customHeight="1" spans="1:19">
      <c r="A35" s="62"/>
      <c r="B35" s="62"/>
      <c r="C35" s="63"/>
      <c r="D35" s="63"/>
      <c r="E35" s="64"/>
      <c r="F35" s="65"/>
      <c r="G35" s="66"/>
      <c r="H35" s="65"/>
      <c r="I35" s="66"/>
      <c r="J35" s="63"/>
      <c r="K35" s="66"/>
      <c r="L35" s="63"/>
      <c r="M35" s="67"/>
      <c r="N35" s="68"/>
      <c r="O35" s="68"/>
      <c r="P35" s="46"/>
      <c r="Q35" s="20"/>
      <c r="R35" s="20"/>
      <c r="S35" s="20"/>
    </row>
    <row r="36" ht="24.95" customHeight="1" spans="1:19">
      <c r="A36" s="69" t="s">
        <v>0</v>
      </c>
      <c r="B36" s="69"/>
      <c r="C36" s="70"/>
      <c r="D36" s="63"/>
      <c r="E36" s="64"/>
      <c r="F36" s="65"/>
      <c r="G36" s="66"/>
      <c r="H36" s="65"/>
      <c r="I36" s="63"/>
      <c r="J36" s="63"/>
      <c r="K36" s="63"/>
      <c r="L36" s="63"/>
      <c r="M36" s="67"/>
      <c r="N36" s="68"/>
      <c r="O36" s="68"/>
      <c r="P36" s="46"/>
      <c r="Q36" s="20"/>
      <c r="R36" s="20"/>
      <c r="S36" s="20"/>
    </row>
    <row r="37" ht="24.95" customHeight="1" spans="1:19">
      <c r="A37" s="68" t="s">
        <v>81</v>
      </c>
      <c r="B37" s="68"/>
      <c r="C37" s="30"/>
      <c r="D37" s="65"/>
      <c r="F37" s="71"/>
      <c r="G37" s="71"/>
      <c r="I37" s="72"/>
    </row>
    <row r="38" ht="24.95" customHeight="1"/>
    <row r="39" ht="24.95" customHeight="1" spans="1:19">
      <c r="A39" s="73"/>
      <c r="B39" s="73"/>
    </row>
    <row r="40" ht="24.95" customHeight="1" spans="1:19">
      <c r="A40" s="73"/>
      <c r="B40" s="73"/>
    </row>
    <row r="41" ht="24.95" customHeight="1" spans="1:19">
      <c r="A41" s="73"/>
      <c r="B41" s="73"/>
    </row>
  </sheetData>
  <sheetProtection formatCells="0" insertHyperlinks="0" autoFilter="0"/>
  <mergeCells count="26">
    <mergeCell ref="A1:L1"/>
    <mergeCell ref="A2:L2"/>
    <mergeCell ref="A6:L6"/>
    <mergeCell ref="C8:E8"/>
    <mergeCell ref="B9:D9"/>
    <mergeCell ref="K9:L9"/>
    <mergeCell ref="B10:D10"/>
    <mergeCell ref="K10:L10"/>
    <mergeCell ref="B11:D11"/>
    <mergeCell ref="K11:L11"/>
    <mergeCell ref="K12:L12"/>
    <mergeCell ref="B13:D13"/>
    <mergeCell ref="K13:L13"/>
    <mergeCell ref="B14:D14"/>
    <mergeCell ref="K14:L14"/>
    <mergeCell ref="B15:D15"/>
    <mergeCell ref="K15:L15"/>
    <mergeCell ref="G16:J16"/>
    <mergeCell ref="K16:L16"/>
    <mergeCell ref="B17:D17"/>
    <mergeCell ref="C18:E18"/>
    <mergeCell ref="A19:A21"/>
    <mergeCell ref="B19:B21"/>
    <mergeCell ref="C19:C21"/>
    <mergeCell ref="D19:D21"/>
    <mergeCell ref="F19:F21"/>
  </mergeCells>
  <pageMargins left="0.472222222222222" right="0.590277777777778" top="0.432638888888889" bottom="0.747916666666667" header="0.236111111111111" footer="0.313888888888889"/>
  <pageSetup paperSize="1" scale="49" fitToHeight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Sara</cp:lastModifiedBy>
  <dcterms:created xsi:type="dcterms:W3CDTF">2018-12-21T08:49:00Z</dcterms:created>
  <cp:lastPrinted>2019-05-09T19:09:00Z</cp:lastPrinted>
  <dcterms:modified xsi:type="dcterms:W3CDTF">2026-09-29T07:56:00Z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FF6AE9910A794A8D84433A78843F52A0</vt:lpwstr>
  </property>
  <property fmtid="{D5CDD505-2E9C-101B-9397-08002B2CF9AE}" pid="4" name="CalculationRule">
    <vt:i4>0</vt:i4>
  </property>
</Properties>
</file>