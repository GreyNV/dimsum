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玺堡家居\ST客户\3.出货资料\RW170\"/>
    </mc:Choice>
  </mc:AlternateContent>
  <bookViews>
    <workbookView windowWidth="27945" windowHeight="12375"/>
  </bookViews>
  <sheets>
    <sheet name="commercial invoice" sheetId="1" r:id="rId1"/>
    <sheet name="packing list" sheetId="2" r:id="rId2"/>
  </sheets>
  <definedNames>
    <definedName name="_xlnm._FilterDatabase" localSheetId="0" hidden="1">'commercial invoice'!$A$20:$XFC$54</definedName>
    <definedName name="_xlnm._FilterDatabase" localSheetId="1" hidden="1">'packing list'!$47:$54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<sst xmlns="http://schemas.openxmlformats.org/spreadsheetml/2006/main" count="237" uniqueCount="105">
  <si>
    <t>KING'S CASTLE(HK) IMPORT&amp;EXPORT CO., LTD</t>
  </si>
  <si>
    <t>FLAT C 23/F LUCKY PLAZA 315-321 LUCKY RD, WAN CHAI, HONGKONG</t>
  </si>
  <si>
    <t>COMMERCIAL INVOICE</t>
  </si>
  <si>
    <t>Messr:</t>
  </si>
  <si>
    <t>EJR TRADING INC</t>
  </si>
  <si>
    <t>INVOICE NO.:</t>
  </si>
  <si>
    <t>RW170</t>
  </si>
  <si>
    <t>10 HILDA LANE</t>
  </si>
  <si>
    <t>INVOICE Date:</t>
  </si>
  <si>
    <t>MONSEY N.Y.10952</t>
  </si>
  <si>
    <t>Ship to :</t>
  </si>
  <si>
    <t>MARTIN TRADING INC</t>
  </si>
  <si>
    <t>Item.</t>
  </si>
  <si>
    <t>DESCRIPTION</t>
  </si>
  <si>
    <t>PACKING SIZE</t>
  </si>
  <si>
    <t>Quantities</t>
  </si>
  <si>
    <t>CBM</t>
  </si>
  <si>
    <t>Total</t>
  </si>
  <si>
    <t>PRICE</t>
  </si>
  <si>
    <t>TOTAL</t>
  </si>
  <si>
    <t>Numbers</t>
  </si>
  <si>
    <t>(sets)</t>
  </si>
  <si>
    <t>(CBM)</t>
  </si>
  <si>
    <t>(USD)</t>
  </si>
  <si>
    <t>AMOUNT</t>
  </si>
  <si>
    <t>of package</t>
  </si>
  <si>
    <t>(CTN)</t>
  </si>
  <si>
    <t>N-RHB-F-BG</t>
  </si>
  <si>
    <t>Nestl Rolled Headboard - Full - Beige</t>
  </si>
  <si>
    <t>35*35*65</t>
  </si>
  <si>
    <t>N-RHB-F-BLK</t>
  </si>
  <si>
    <t>Nestl Rolled Headboard - Full - Black</t>
  </si>
  <si>
    <t>N-RHB-F-GR</t>
  </si>
  <si>
    <t>Nestl Rolled Headboard - Full - Gray</t>
  </si>
  <si>
    <t>N-RHB-F-OFFWHT</t>
  </si>
  <si>
    <t>Nestl Rolled Headboard - Full - Off White</t>
  </si>
  <si>
    <t>N-RHB-F-SLTBLU</t>
  </si>
  <si>
    <t>Nestl Rolled Headboard - Full - Slate Blue</t>
  </si>
  <si>
    <t>N-RHB-K-BLK</t>
  </si>
  <si>
    <t>Nestl Rolled Headboard - King - Black</t>
  </si>
  <si>
    <t>43*43*65</t>
  </si>
  <si>
    <t>N-RHB-K-LINEN</t>
  </si>
  <si>
    <t>Nestl Rolled Headboard - King - Linen</t>
  </si>
  <si>
    <t>N-RHB-K-MCH</t>
  </si>
  <si>
    <t>Nestl Rolled Headboard - King - Mocha</t>
  </si>
  <si>
    <t>N-RHB-K-OFFWHT</t>
  </si>
  <si>
    <t>Nestl Rolled Headboard - King - Off White</t>
  </si>
  <si>
    <t>N-RHB-K-OLVGRN</t>
  </si>
  <si>
    <t>Nestl Rolled Headboard - King - Olive Green</t>
  </si>
  <si>
    <t>N-RHB-Q-BG</t>
  </si>
  <si>
    <t>Nestl Rolled Headboard - Queen - Beige</t>
  </si>
  <si>
    <t>N-RHB-Q-BLK</t>
  </si>
  <si>
    <t>Nestl Rolled Headboard - Queen - Black</t>
  </si>
  <si>
    <t>N-RHB-Q-MCH</t>
  </si>
  <si>
    <t>Nestl Rolled Headboard - Queen - Mocha</t>
  </si>
  <si>
    <t>N-RHB-Q-OFFWHT</t>
  </si>
  <si>
    <t>Nestl Rolled Headboard - Queen - Off White</t>
  </si>
  <si>
    <t>N-RHB-Q-OLVGRN</t>
  </si>
  <si>
    <t>Nestl Rolled Headboard - Queen - Olive Green</t>
  </si>
  <si>
    <t>N-RHB-T-BG</t>
  </si>
  <si>
    <t>Nestl Rolled Headboard - Twin - Beige</t>
  </si>
  <si>
    <t>N-RHB-T-BLK</t>
  </si>
  <si>
    <t>Nestl Rolled Headboard - Twin - Black</t>
  </si>
  <si>
    <t>N-RHB-T-LINEN</t>
  </si>
  <si>
    <t>Nestl Rolled Headboard - Twin - Linen</t>
  </si>
  <si>
    <t>N-RHB-T-PNK</t>
  </si>
  <si>
    <t>Nestl Rolled Headboard - Twin - Pink</t>
  </si>
  <si>
    <t>N-VRHB-F-BLK</t>
  </si>
  <si>
    <t>Nestl Rolled Velvet Headboard - Full - Black</t>
  </si>
  <si>
    <t>N-VRHB-F-OFFWHT</t>
  </si>
  <si>
    <t>Nestl Rolled Velvet Headboard - Full - Off White</t>
  </si>
  <si>
    <t>N-VRHB-Q-BLK</t>
  </si>
  <si>
    <t>Nestl Rolled Velvet Headboard - Queen - Black</t>
  </si>
  <si>
    <t>N-VRHB-Q-GRY</t>
  </si>
  <si>
    <t>Nestl Rolled Velvet Headboard - Queen - Gray</t>
  </si>
  <si>
    <t>N-VRHB-T-BLK</t>
  </si>
  <si>
    <t>Nestl Rolled Velvet Headboard - Twin - Black</t>
  </si>
  <si>
    <t>S-CPSS-Q</t>
  </si>
  <si>
    <t>Sleeptone Basics Cooling Side Sleeper Pillow - Queen</t>
  </si>
  <si>
    <t>53*37*45.5</t>
  </si>
  <si>
    <t>RW118</t>
  </si>
  <si>
    <t>TOTAL AMOUNT :  SAY  TOTAL  US  DOLLARS NINETEEN THOUSAND FORTY TWO AND FORTY CENTS ONLY.</t>
  </si>
  <si>
    <r>
      <rPr>
        <b/>
        <sz val="12"/>
        <color rgb="FF000000"/>
        <rFont val="Times New Roman"/>
        <charset val="0"/>
      </rPr>
      <t xml:space="preserve">Beneficiary </t>
    </r>
    <r>
      <rPr>
        <sz val="12"/>
        <color indexed="8"/>
        <rFont val="Times New Roman"/>
        <charset val="0"/>
      </rPr>
      <t>:  KING’S CASTLE HK IMPORT AND EXPORT CO LIMITED</t>
    </r>
  </si>
  <si>
    <r>
      <rPr>
        <b/>
        <sz val="12"/>
        <color rgb="FF000000"/>
        <rFont val="Times New Roman"/>
        <charset val="0"/>
      </rPr>
      <t xml:space="preserve">Address: </t>
    </r>
    <r>
      <rPr>
        <sz val="12"/>
        <color indexed="8"/>
        <rFont val="Times New Roman"/>
        <charset val="0"/>
      </rPr>
      <t>FLAT C 23/F LUCKY PLAZA 315-321 LUCKY RD, WAN CHAI, HONGKONG</t>
    </r>
  </si>
  <si>
    <r>
      <rPr>
        <b/>
        <sz val="12"/>
        <color rgb="FF000000"/>
        <rFont val="Times New Roman"/>
        <charset val="0"/>
      </rPr>
      <t xml:space="preserve">Bank  Name:  </t>
    </r>
    <r>
      <rPr>
        <sz val="12"/>
        <color indexed="8"/>
        <rFont val="Times New Roman"/>
        <charset val="0"/>
      </rPr>
      <t>East West Bank, Hong Kong Branch</t>
    </r>
  </si>
  <si>
    <r>
      <rPr>
        <b/>
        <sz val="12"/>
        <color rgb="FF000000"/>
        <rFont val="Times New Roman"/>
        <charset val="0"/>
      </rPr>
      <t>Bank address :</t>
    </r>
    <r>
      <rPr>
        <sz val="12"/>
        <color indexed="8"/>
        <rFont val="Times New Roman"/>
        <charset val="0"/>
      </rPr>
      <t>Suite 1108, 11/F, Two International Finance Centre 8 Finance Street, Central, Hong Kong</t>
    </r>
  </si>
  <si>
    <r>
      <rPr>
        <b/>
        <sz val="12"/>
        <color rgb="FF000000"/>
        <rFont val="Times New Roman"/>
        <charset val="0"/>
      </rPr>
      <t xml:space="preserve">Swift No :  </t>
    </r>
    <r>
      <rPr>
        <sz val="12"/>
        <color rgb="FF000000"/>
        <rFont val="Times New Roman"/>
        <charset val="0"/>
      </rPr>
      <t>EWBKHKHH</t>
    </r>
  </si>
  <si>
    <r>
      <rPr>
        <b/>
        <sz val="12"/>
        <color rgb="FF000000"/>
        <rFont val="Times New Roman"/>
        <charset val="0"/>
      </rPr>
      <t xml:space="preserve">Account No.: </t>
    </r>
    <r>
      <rPr>
        <sz val="12"/>
        <color indexed="8"/>
        <rFont val="Times New Roman"/>
        <charset val="0"/>
      </rPr>
      <t xml:space="preserve"> 1001603297500</t>
    </r>
  </si>
  <si>
    <t>PACKING LIST</t>
  </si>
  <si>
    <t>PI NO.:</t>
  </si>
  <si>
    <t>CONTAINER NO.：</t>
  </si>
  <si>
    <t>CAAU8913237</t>
  </si>
  <si>
    <t>SEAL NO.:</t>
  </si>
  <si>
    <t>CN0085393</t>
  </si>
  <si>
    <t>B/L NO.:</t>
  </si>
  <si>
    <t>VESSEL/VOY:</t>
  </si>
  <si>
    <t>SANTA TERESA 639S</t>
  </si>
  <si>
    <t>LOADING DATE</t>
  </si>
  <si>
    <t>ETD:</t>
  </si>
  <si>
    <t>DESTINATION:</t>
  </si>
  <si>
    <t>New York, NY</t>
  </si>
  <si>
    <t>G.W.</t>
  </si>
  <si>
    <t>N.W.</t>
  </si>
  <si>
    <t>(kgs)</t>
  </si>
  <si>
    <t>KING'S CASTLE (HK) IMPORT &amp; EXPORT CO., LIMITED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</si>
</sst>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_ "/>
    <numFmt numFmtId="177" formatCode="dd\-mmm\-yy"/>
    <numFmt numFmtId="178" formatCode="0.000_ "/>
    <numFmt numFmtId="179" formatCode="0.00_ "/>
    <numFmt numFmtId="180" formatCode="0_ "/>
  </numFmts>
  <fonts count="43">
    <font>
      <sz val="12"/>
      <name val="宋体"/>
      <charset val="134"/>
    </font>
    <font>
      <b/>
      <sz val="24"/>
      <name val="Arial Narrow"/>
      <charset val="0"/>
    </font>
    <font>
      <sz val="16"/>
      <name val="Arial Narrow"/>
      <charset val="0"/>
    </font>
    <font>
      <b/>
      <sz val="14"/>
      <color rgb="FF000000"/>
      <name val="Calibri"/>
      <charset val="134"/>
    </font>
    <font>
      <b/>
      <u/>
      <sz val="22"/>
      <name val="Times New Roman"/>
      <charset val="134"/>
    </font>
    <font>
      <b/>
      <sz val="16"/>
      <name val="宋体"/>
      <charset val="134"/>
    </font>
    <font>
      <b/>
      <u/>
      <sz val="22"/>
      <name val="宋体"/>
      <charset val="134"/>
    </font>
    <font>
      <u/>
      <sz val="22"/>
      <name val="宋体"/>
      <charset val="134"/>
    </font>
    <font>
      <b/>
      <sz val="16"/>
      <name val="Times New Roman"/>
      <charset val="134"/>
    </font>
    <font>
      <b/>
      <sz val="14"/>
      <name val="Times New Roman"/>
      <charset val="134"/>
    </font>
    <font>
      <b/>
      <sz val="16"/>
      <color indexed="8"/>
      <name val="Times New Roman"/>
      <charset val="134"/>
    </font>
    <font>
      <sz val="16"/>
      <name val="宋体"/>
      <charset val="134"/>
    </font>
    <font>
      <b/>
      <sz val="12"/>
      <color rgb="FF000000"/>
      <name val="Times New Roman"/>
      <charset val="134"/>
    </font>
    <font>
      <b/>
      <sz val="12"/>
      <name val="Times New Roman"/>
      <charset val="134"/>
    </font>
    <font>
      <b/>
      <sz val="12"/>
      <color rgb="FF000000"/>
      <name val="Times New Roman"/>
      <charset val="0"/>
    </font>
    <font>
      <b/>
      <sz val="12"/>
      <name val="Times New Roman"/>
      <charset val="0"/>
    </font>
    <font>
      <b/>
      <sz val="12"/>
      <color rgb="FFFF0000"/>
      <name val="宋体"/>
      <charset val="134"/>
    </font>
    <font>
      <b/>
      <sz val="12"/>
      <name val="宋体"/>
      <charset val="134"/>
    </font>
    <font>
      <sz val="11"/>
      <color indexed="8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4"/>
      <name val="ＭＳ 明朝"/>
      <charset val="134"/>
    </font>
    <font>
      <sz val="11"/>
      <name val="ＭＳ Ｐゴシック"/>
      <charset val="134"/>
    </font>
    <font>
      <sz val="12"/>
      <color indexed="8"/>
      <name val="Times New Roman"/>
      <charset val="0"/>
    </font>
    <font>
      <sz val="12"/>
      <color rgb="FF000000"/>
      <name val="Times New Roman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2" borderId="10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" borderId="13" applyNumberFormat="0" applyAlignment="0" applyProtection="0">
      <alignment vertical="center"/>
    </xf>
    <xf numFmtId="0" fontId="29" fillId="4" borderId="14" applyNumberFormat="0" applyAlignment="0" applyProtection="0">
      <alignment vertical="center"/>
    </xf>
    <xf numFmtId="0" fontId="30" fillId="4" borderId="13" applyNumberFormat="0" applyAlignment="0" applyProtection="0">
      <alignment vertical="center"/>
    </xf>
    <xf numFmtId="0" fontId="31" fillId="5" borderId="15" applyNumberFormat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39" fillId="0" borderId="0"/>
    <xf numFmtId="38" fontId="40" fillId="0" borderId="0" applyFont="0" applyFill="0" applyBorder="0" applyAlignment="0" applyProtection="0"/>
    <xf numFmtId="0" fontId="0" fillId="0" borderId="0">
      <alignment vertical="center"/>
    </xf>
    <xf numFmtId="0" fontId="0" fillId="0" borderId="0"/>
  </cellStyleXfs>
  <cellXfs count="122">
    <xf numFmtId="0" fontId="0" fillId="0" borderId="0" xfId="0"/>
    <xf numFmtId="0" fontId="0" fillId="0" borderId="0" xfId="0" applyFont="1" applyFill="1" applyBorder="1" applyAlignment="1"/>
    <xf numFmtId="0" fontId="0" fillId="0" borderId="0" xfId="0" applyNumberFormat="1" applyFont="1" applyFill="1" applyAlignment="1">
      <alignment vertical="center" wrapText="1"/>
    </xf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1" fillId="0" borderId="0" xfId="0" applyFont="1" applyFill="1" applyAlignment="1">
      <alignment horizontal="center"/>
    </xf>
    <xf numFmtId="176" fontId="1" fillId="0" borderId="0" xfId="0" applyNumberFormat="1" applyFont="1" applyFill="1" applyAlignment="1">
      <alignment horizont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center"/>
    </xf>
    <xf numFmtId="176" fontId="2" fillId="0" borderId="0" xfId="0" applyNumberFormat="1" applyFont="1" applyFill="1" applyAlignment="1">
      <alignment horizontal="center"/>
    </xf>
    <xf numFmtId="0" fontId="2" fillId="0" borderId="0" xfId="0" applyFont="1" applyFill="1" applyAlignment="1"/>
    <xf numFmtId="0" fontId="0" fillId="0" borderId="1" xfId="0" applyFont="1" applyFill="1" applyBorder="1" applyAlignment="1"/>
    <xf numFmtId="0" fontId="0" fillId="0" borderId="1" xfId="0" applyFill="1" applyBorder="1" applyAlignment="1"/>
    <xf numFmtId="176" fontId="0" fillId="0" borderId="1" xfId="0" applyNumberFormat="1" applyFill="1" applyBorder="1" applyAlignment="1"/>
    <xf numFmtId="0" fontId="0" fillId="0" borderId="0" xfId="0" applyFill="1" applyBorder="1" applyAlignment="1"/>
    <xf numFmtId="0" fontId="0" fillId="0" borderId="0" xfId="0" applyBorder="1" applyAlignme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 applyProtection="1">
      <alignment vertical="center"/>
      <protection locked="0"/>
    </xf>
    <xf numFmtId="176" fontId="0" fillId="0" borderId="0" xfId="0" applyNumberFormat="1" applyAlignment="1" applyProtection="1">
      <alignment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2" xfId="53" applyFont="1" applyFill="1" applyBorder="1" applyAlignment="1">
      <alignment horizontal="left" vertical="center"/>
    </xf>
    <xf numFmtId="0" fontId="8" fillId="0" borderId="0" xfId="53" applyFont="1" applyFill="1" applyBorder="1" applyAlignment="1">
      <alignment horizontal="left" vertical="center"/>
    </xf>
    <xf numFmtId="0" fontId="8" fillId="0" borderId="0" xfId="53" applyFont="1" applyBorder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0" fontId="8" fillId="0" borderId="3" xfId="53" applyFont="1" applyFill="1" applyBorder="1" applyAlignment="1">
      <alignment vertical="center"/>
    </xf>
    <xf numFmtId="0" fontId="8" fillId="0" borderId="3" xfId="0" applyNumberFormat="1" applyFont="1" applyBorder="1" applyAlignment="1">
      <alignment horizontal="center" vertical="center" wrapText="1"/>
    </xf>
    <xf numFmtId="0" fontId="8" fillId="0" borderId="3" xfId="0" applyNumberFormat="1" applyFont="1" applyBorder="1" applyAlignment="1">
      <alignment horizontal="center" vertical="center"/>
    </xf>
    <xf numFmtId="0" fontId="8" fillId="0" borderId="3" xfId="53" applyFont="1" applyFill="1" applyBorder="1" applyAlignment="1">
      <alignment horizontal="left" vertical="center" wrapText="1"/>
    </xf>
    <xf numFmtId="0" fontId="8" fillId="0" borderId="0" xfId="53" applyFont="1" applyBorder="1" applyAlignment="1">
      <alignment horizontal="left" vertical="center"/>
    </xf>
    <xf numFmtId="0" fontId="5" fillId="0" borderId="0" xfId="0" applyFont="1" applyBorder="1" applyAlignment="1">
      <alignment vertical="center"/>
    </xf>
    <xf numFmtId="1" fontId="9" fillId="0" borderId="3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177" fontId="8" fillId="0" borderId="3" xfId="0" applyNumberFormat="1" applyFont="1" applyBorder="1" applyAlignment="1">
      <alignment horizontal="center" vertical="center"/>
    </xf>
    <xf numFmtId="0" fontId="8" fillId="0" borderId="0" xfId="53" applyFont="1" applyFill="1" applyAlignment="1">
      <alignment horizontal="left" vertical="center" wrapText="1"/>
    </xf>
    <xf numFmtId="0" fontId="8" fillId="0" borderId="0" xfId="53" applyFont="1" applyFill="1" applyAlignment="1">
      <alignment horizontal="left" vertical="center"/>
    </xf>
    <xf numFmtId="0" fontId="8" fillId="0" borderId="0" xfId="53" applyFont="1" applyAlignment="1">
      <alignment vertical="center"/>
    </xf>
    <xf numFmtId="177" fontId="8" fillId="0" borderId="4" xfId="0" applyNumberFormat="1" applyFont="1" applyBorder="1" applyAlignment="1">
      <alignment horizontal="center" vertical="center"/>
    </xf>
    <xf numFmtId="0" fontId="8" fillId="0" borderId="2" xfId="53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76" fontId="5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178" fontId="8" fillId="0" borderId="5" xfId="0" applyNumberFormat="1" applyFont="1" applyBorder="1" applyAlignment="1">
      <alignment horizontal="center" vertical="center"/>
    </xf>
    <xf numFmtId="176" fontId="8" fillId="0" borderId="5" xfId="0" applyNumberFormat="1" applyFont="1" applyBorder="1" applyAlignment="1">
      <alignment horizontal="center"/>
    </xf>
    <xf numFmtId="176" fontId="5" fillId="0" borderId="5" xfId="0" applyNumberFormat="1" applyFont="1" applyBorder="1"/>
    <xf numFmtId="0" fontId="12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3" fillId="0" borderId="5" xfId="0" applyNumberFormat="1" applyFont="1" applyBorder="1" applyAlignment="1">
      <alignment horizontal="center" vertical="center" wrapText="1"/>
    </xf>
    <xf numFmtId="178" fontId="12" fillId="0" borderId="5" xfId="0" applyNumberFormat="1" applyFont="1" applyBorder="1" applyAlignment="1">
      <alignment horizontal="center" vertical="center" wrapText="1"/>
    </xf>
    <xf numFmtId="179" fontId="12" fillId="0" borderId="5" xfId="0" applyNumberFormat="1" applyFont="1" applyBorder="1" applyAlignment="1">
      <alignment horizontal="center" vertical="center" wrapText="1"/>
    </xf>
    <xf numFmtId="2" fontId="14" fillId="0" borderId="5" xfId="0" applyNumberFormat="1" applyFont="1" applyBorder="1" applyAlignment="1">
      <alignment horizontal="center" vertical="center" wrapText="1"/>
    </xf>
    <xf numFmtId="0" fontId="15" fillId="0" borderId="0" xfId="0" applyNumberFormat="1" applyFont="1" applyBorder="1" applyAlignment="1">
      <alignment horizontal="center" vertical="center" wrapText="1"/>
    </xf>
    <xf numFmtId="0" fontId="0" fillId="0" borderId="0" xfId="0" applyNumberFormat="1" applyFill="1" applyAlignment="1">
      <alignment vertical="center" wrapText="1"/>
    </xf>
    <xf numFmtId="0" fontId="0" fillId="0" borderId="0" xfId="0" applyNumberFormat="1" applyAlignment="1">
      <alignment vertical="center" wrapText="1"/>
    </xf>
    <xf numFmtId="0" fontId="16" fillId="0" borderId="0" xfId="0" applyNumberFormat="1" applyFont="1" applyAlignment="1">
      <alignment vertical="center" wrapText="1"/>
    </xf>
    <xf numFmtId="0" fontId="13" fillId="0" borderId="0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0" fontId="13" fillId="0" borderId="8" xfId="53" applyFont="1" applyFill="1" applyBorder="1" applyAlignment="1">
      <alignment horizontal="center" vertical="center"/>
    </xf>
    <xf numFmtId="178" fontId="13" fillId="0" borderId="9" xfId="53" applyNumberFormat="1" applyFont="1" applyFill="1" applyBorder="1" applyAlignment="1">
      <alignment horizontal="center" vertical="center"/>
    </xf>
    <xf numFmtId="178" fontId="13" fillId="0" borderId="8" xfId="53" applyNumberFormat="1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4" fillId="0" borderId="0" xfId="0" applyNumberFormat="1" applyFont="1" applyBorder="1" applyAlignment="1">
      <alignment horizontal="center" vertical="center" wrapText="1"/>
    </xf>
    <xf numFmtId="180" fontId="13" fillId="0" borderId="8" xfId="53" applyNumberFormat="1" applyFont="1" applyFill="1" applyBorder="1" applyAlignment="1">
      <alignment horizontal="center" vertical="center"/>
    </xf>
    <xf numFmtId="49" fontId="9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Border="1" applyAlignment="1">
      <alignment horizontal="center"/>
    </xf>
    <xf numFmtId="176" fontId="9" fillId="0" borderId="0" xfId="0" applyNumberFormat="1" applyFont="1" applyBorder="1" applyAlignment="1">
      <alignment horizontal="center"/>
    </xf>
    <xf numFmtId="0" fontId="9" fillId="0" borderId="0" xfId="0" applyFont="1" applyBorder="1"/>
    <xf numFmtId="179" fontId="9" fillId="0" borderId="0" xfId="0" applyNumberFormat="1" applyFont="1" applyBorder="1" applyAlignment="1">
      <alignment horizontal="center"/>
    </xf>
    <xf numFmtId="0" fontId="13" fillId="0" borderId="0" xfId="0" applyFont="1"/>
    <xf numFmtId="0" fontId="11" fillId="0" borderId="0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0" xfId="0" applyNumberFormat="1" applyAlignment="1">
      <alignment vertical="center"/>
    </xf>
    <xf numFmtId="178" fontId="0" fillId="0" borderId="0" xfId="0" applyNumberFormat="1" applyAlignment="1">
      <alignment vertical="center"/>
    </xf>
    <xf numFmtId="179" fontId="0" fillId="0" borderId="0" xfId="0" applyNumberFormat="1" applyAlignment="1">
      <alignment vertical="center"/>
    </xf>
    <xf numFmtId="0" fontId="14" fillId="0" borderId="0" xfId="0" applyFont="1" applyFill="1" applyBorder="1" applyAlignment="1"/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Alignment="1" applyProtection="1">
      <alignment horizontal="center" vertical="center"/>
      <protection locked="0"/>
    </xf>
    <xf numFmtId="0" fontId="7" fillId="0" borderId="0" xfId="0" applyFont="1" applyAlignment="1">
      <alignment horizontal="center" vertical="center"/>
    </xf>
    <xf numFmtId="176" fontId="8" fillId="0" borderId="0" xfId="0" applyNumberFormat="1" applyFont="1" applyAlignment="1">
      <alignment horizontal="left" vertical="center"/>
    </xf>
    <xf numFmtId="178" fontId="8" fillId="0" borderId="0" xfId="0" applyNumberFormat="1" applyFont="1" applyAlignment="1">
      <alignment horizontal="left" vertical="center"/>
    </xf>
    <xf numFmtId="176" fontId="8" fillId="0" borderId="0" xfId="0" applyNumberFormat="1" applyFont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5" fillId="0" borderId="0" xfId="0" applyNumberFormat="1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17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13" fillId="0" borderId="8" xfId="53" applyFont="1" applyBorder="1" applyAlignment="1">
      <alignment horizontal="center" vertical="center"/>
    </xf>
    <xf numFmtId="178" fontId="13" fillId="0" borderId="9" xfId="53" applyNumberFormat="1" applyFont="1" applyBorder="1" applyAlignment="1">
      <alignment horizontal="center" vertical="center"/>
    </xf>
    <xf numFmtId="178" fontId="13" fillId="0" borderId="8" xfId="53" applyNumberFormat="1" applyFont="1" applyBorder="1" applyAlignment="1">
      <alignment horizontal="center" vertical="center"/>
    </xf>
    <xf numFmtId="180" fontId="13" fillId="0" borderId="8" xfId="53" applyNumberFormat="1" applyFont="1" applyBorder="1" applyAlignment="1">
      <alignment horizontal="center" vertical="center"/>
    </xf>
    <xf numFmtId="0" fontId="15" fillId="0" borderId="0" xfId="0" applyNumberFormat="1" applyFont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標準_20090521　ジェフサ本皮張り（OK店）Okinawa20Fバージョン" xfId="50"/>
    <cellStyle name="桁区切り 2" xfId="51"/>
    <cellStyle name="常规 5" xfId="52"/>
    <cellStyle name="Standaard 2" xfId="53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4"/>
  <sheetViews>
    <sheetView tabSelected="1" zoomScale="80" zoomScaleNormal="80" topLeftCell="A38" workbookViewId="0">
      <selection activeCell="N39" sqref="N39"/>
    </sheetView>
  </sheetViews>
  <sheetFormatPr defaultColWidth="9" defaultRowHeight="14.25"/>
  <cols>
    <col min="1" max="1" width="25.2833333333333" style="3" customWidth="1"/>
    <col min="2" max="2" width="32.0583333333333" style="3" customWidth="1"/>
    <col min="3" max="3" width="22.4916666666667" style="3" customWidth="1"/>
    <col min="4" max="4" width="16" style="3" customWidth="1"/>
    <col min="5" max="5" width="14.8583333333333" style="3" customWidth="1"/>
    <col min="6" max="6" width="12.5" style="4" customWidth="1"/>
    <col min="7" max="7" width="11.375" style="3" customWidth="1"/>
    <col min="8" max="8" width="12.875" style="3" customWidth="1"/>
    <col min="9" max="9" width="16.7833333333333" style="3" customWidth="1"/>
    <col min="10" max="10" width="19.375" style="96" customWidth="1"/>
    <col min="11" max="11" width="16.2" style="3" customWidth="1"/>
    <col min="12" max="12" width="9.375" style="3"/>
    <col min="13" max="13" width="9" style="3"/>
    <col min="14" max="14" width="18.525" style="3" customWidth="1"/>
    <col min="15" max="15" width="11.5" style="3"/>
    <col min="16" max="16" width="12.625" style="3"/>
    <col min="17" max="17" width="11.5" style="3"/>
    <col min="18" max="254" width="9" style="3"/>
    <col min="255" max="255" width="14.75" style="3" customWidth="1"/>
    <col min="256" max="256" width="26" style="3" customWidth="1"/>
    <col min="257" max="257" width="15.125" style="3" customWidth="1"/>
    <col min="258" max="258" width="15.375" style="3" customWidth="1"/>
    <col min="259" max="259" width="12.375" style="3" customWidth="1"/>
    <col min="260" max="260" width="10.875" style="3" customWidth="1"/>
    <col min="261" max="261" width="11.375" style="3" customWidth="1"/>
    <col min="262" max="262" width="10.75" style="3" customWidth="1"/>
    <col min="263" max="263" width="9.25" style="3" customWidth="1"/>
    <col min="264" max="264" width="13.5" style="3" customWidth="1"/>
    <col min="265" max="265" width="5.375" style="3" customWidth="1"/>
    <col min="266" max="510" width="9" style="3"/>
    <col min="511" max="511" width="14.75" style="3" customWidth="1"/>
    <col min="512" max="512" width="26" style="3" customWidth="1"/>
    <col min="513" max="513" width="15.125" style="3" customWidth="1"/>
    <col min="514" max="514" width="15.375" style="3" customWidth="1"/>
    <col min="515" max="515" width="12.375" style="3" customWidth="1"/>
    <col min="516" max="516" width="10.875" style="3" customWidth="1"/>
    <col min="517" max="517" width="11.375" style="3" customWidth="1"/>
    <col min="518" max="518" width="10.75" style="3" customWidth="1"/>
    <col min="519" max="519" width="9.25" style="3" customWidth="1"/>
    <col min="520" max="520" width="13.5" style="3" customWidth="1"/>
    <col min="521" max="521" width="5.375" style="3" customWidth="1"/>
    <col min="522" max="766" width="9" style="3"/>
    <col min="767" max="767" width="14.75" style="3" customWidth="1"/>
    <col min="768" max="768" width="26" style="3" customWidth="1"/>
    <col min="769" max="769" width="15.125" style="3" customWidth="1"/>
    <col min="770" max="770" width="15.375" style="3" customWidth="1"/>
    <col min="771" max="771" width="12.375" style="3" customWidth="1"/>
    <col min="772" max="772" width="10.875" style="3" customWidth="1"/>
    <col min="773" max="773" width="11.375" style="3" customWidth="1"/>
    <col min="774" max="774" width="10.75" style="3" customWidth="1"/>
    <col min="775" max="775" width="9.25" style="3" customWidth="1"/>
    <col min="776" max="776" width="13.5" style="3" customWidth="1"/>
    <col min="777" max="777" width="5.375" style="3" customWidth="1"/>
    <col min="778" max="1022" width="9" style="3"/>
    <col min="1023" max="1023" width="14.75" style="3" customWidth="1"/>
    <col min="1024" max="1024" width="26" style="3" customWidth="1"/>
    <col min="1025" max="1025" width="15.125" style="3" customWidth="1"/>
    <col min="1026" max="1026" width="15.375" style="3" customWidth="1"/>
    <col min="1027" max="1027" width="12.375" style="3" customWidth="1"/>
    <col min="1028" max="1028" width="10.875" style="3" customWidth="1"/>
    <col min="1029" max="1029" width="11.375" style="3" customWidth="1"/>
    <col min="1030" max="1030" width="10.75" style="3" customWidth="1"/>
    <col min="1031" max="1031" width="9.25" style="3" customWidth="1"/>
    <col min="1032" max="1032" width="13.5" style="3" customWidth="1"/>
    <col min="1033" max="1033" width="5.375" style="3" customWidth="1"/>
    <col min="1034" max="1278" width="9" style="3"/>
    <col min="1279" max="1279" width="14.75" style="3" customWidth="1"/>
    <col min="1280" max="1280" width="26" style="3" customWidth="1"/>
    <col min="1281" max="1281" width="15.125" style="3" customWidth="1"/>
    <col min="1282" max="1282" width="15.375" style="3" customWidth="1"/>
    <col min="1283" max="1283" width="12.375" style="3" customWidth="1"/>
    <col min="1284" max="1284" width="10.875" style="3" customWidth="1"/>
    <col min="1285" max="1285" width="11.375" style="3" customWidth="1"/>
    <col min="1286" max="1286" width="10.75" style="3" customWidth="1"/>
    <col min="1287" max="1287" width="9.25" style="3" customWidth="1"/>
    <col min="1288" max="1288" width="13.5" style="3" customWidth="1"/>
    <col min="1289" max="1289" width="5.375" style="3" customWidth="1"/>
    <col min="1290" max="1534" width="9" style="3"/>
    <col min="1535" max="1535" width="14.75" style="3" customWidth="1"/>
    <col min="1536" max="1536" width="26" style="3" customWidth="1"/>
    <col min="1537" max="1537" width="15.125" style="3" customWidth="1"/>
    <col min="1538" max="1538" width="15.375" style="3" customWidth="1"/>
    <col min="1539" max="1539" width="12.375" style="3" customWidth="1"/>
    <col min="1540" max="1540" width="10.875" style="3" customWidth="1"/>
    <col min="1541" max="1541" width="11.375" style="3" customWidth="1"/>
    <col min="1542" max="1542" width="10.75" style="3" customWidth="1"/>
    <col min="1543" max="1543" width="9.25" style="3" customWidth="1"/>
    <col min="1544" max="1544" width="13.5" style="3" customWidth="1"/>
    <col min="1545" max="1545" width="5.375" style="3" customWidth="1"/>
    <col min="1546" max="1790" width="9" style="3"/>
    <col min="1791" max="1791" width="14.75" style="3" customWidth="1"/>
    <col min="1792" max="1792" width="26" style="3" customWidth="1"/>
    <col min="1793" max="1793" width="15.125" style="3" customWidth="1"/>
    <col min="1794" max="1794" width="15.375" style="3" customWidth="1"/>
    <col min="1795" max="1795" width="12.375" style="3" customWidth="1"/>
    <col min="1796" max="1796" width="10.875" style="3" customWidth="1"/>
    <col min="1797" max="1797" width="11.375" style="3" customWidth="1"/>
    <col min="1798" max="1798" width="10.75" style="3" customWidth="1"/>
    <col min="1799" max="1799" width="9.25" style="3" customWidth="1"/>
    <col min="1800" max="1800" width="13.5" style="3" customWidth="1"/>
    <col min="1801" max="1801" width="5.375" style="3" customWidth="1"/>
    <col min="1802" max="2046" width="9" style="3"/>
    <col min="2047" max="2047" width="14.75" style="3" customWidth="1"/>
    <col min="2048" max="2048" width="26" style="3" customWidth="1"/>
    <col min="2049" max="2049" width="15.125" style="3" customWidth="1"/>
    <col min="2050" max="2050" width="15.375" style="3" customWidth="1"/>
    <col min="2051" max="2051" width="12.375" style="3" customWidth="1"/>
    <col min="2052" max="2052" width="10.875" style="3" customWidth="1"/>
    <col min="2053" max="2053" width="11.375" style="3" customWidth="1"/>
    <col min="2054" max="2054" width="10.75" style="3" customWidth="1"/>
    <col min="2055" max="2055" width="9.25" style="3" customWidth="1"/>
    <col min="2056" max="2056" width="13.5" style="3" customWidth="1"/>
    <col min="2057" max="2057" width="5.375" style="3" customWidth="1"/>
    <col min="2058" max="2302" width="9" style="3"/>
    <col min="2303" max="2303" width="14.75" style="3" customWidth="1"/>
    <col min="2304" max="2304" width="26" style="3" customWidth="1"/>
    <col min="2305" max="2305" width="15.125" style="3" customWidth="1"/>
    <col min="2306" max="2306" width="15.375" style="3" customWidth="1"/>
    <col min="2307" max="2307" width="12.375" style="3" customWidth="1"/>
    <col min="2308" max="2308" width="10.875" style="3" customWidth="1"/>
    <col min="2309" max="2309" width="11.375" style="3" customWidth="1"/>
    <col min="2310" max="2310" width="10.75" style="3" customWidth="1"/>
    <col min="2311" max="2311" width="9.25" style="3" customWidth="1"/>
    <col min="2312" max="2312" width="13.5" style="3" customWidth="1"/>
    <col min="2313" max="2313" width="5.375" style="3" customWidth="1"/>
    <col min="2314" max="2558" width="9" style="3"/>
    <col min="2559" max="2559" width="14.75" style="3" customWidth="1"/>
    <col min="2560" max="2560" width="26" style="3" customWidth="1"/>
    <col min="2561" max="2561" width="15.125" style="3" customWidth="1"/>
    <col min="2562" max="2562" width="15.375" style="3" customWidth="1"/>
    <col min="2563" max="2563" width="12.375" style="3" customWidth="1"/>
    <col min="2564" max="2564" width="10.875" style="3" customWidth="1"/>
    <col min="2565" max="2565" width="11.375" style="3" customWidth="1"/>
    <col min="2566" max="2566" width="10.75" style="3" customWidth="1"/>
    <col min="2567" max="2567" width="9.25" style="3" customWidth="1"/>
    <col min="2568" max="2568" width="13.5" style="3" customWidth="1"/>
    <col min="2569" max="2569" width="5.375" style="3" customWidth="1"/>
    <col min="2570" max="2814" width="9" style="3"/>
    <col min="2815" max="2815" width="14.75" style="3" customWidth="1"/>
    <col min="2816" max="2816" width="26" style="3" customWidth="1"/>
    <col min="2817" max="2817" width="15.125" style="3" customWidth="1"/>
    <col min="2818" max="2818" width="15.375" style="3" customWidth="1"/>
    <col min="2819" max="2819" width="12.375" style="3" customWidth="1"/>
    <col min="2820" max="2820" width="10.875" style="3" customWidth="1"/>
    <col min="2821" max="2821" width="11.375" style="3" customWidth="1"/>
    <col min="2822" max="2822" width="10.75" style="3" customWidth="1"/>
    <col min="2823" max="2823" width="9.25" style="3" customWidth="1"/>
    <col min="2824" max="2824" width="13.5" style="3" customWidth="1"/>
    <col min="2825" max="2825" width="5.375" style="3" customWidth="1"/>
    <col min="2826" max="3070" width="9" style="3"/>
    <col min="3071" max="3071" width="14.75" style="3" customWidth="1"/>
    <col min="3072" max="3072" width="26" style="3" customWidth="1"/>
    <col min="3073" max="3073" width="15.125" style="3" customWidth="1"/>
    <col min="3074" max="3074" width="15.375" style="3" customWidth="1"/>
    <col min="3075" max="3075" width="12.375" style="3" customWidth="1"/>
    <col min="3076" max="3076" width="10.875" style="3" customWidth="1"/>
    <col min="3077" max="3077" width="11.375" style="3" customWidth="1"/>
    <col min="3078" max="3078" width="10.75" style="3" customWidth="1"/>
    <col min="3079" max="3079" width="9.25" style="3" customWidth="1"/>
    <col min="3080" max="3080" width="13.5" style="3" customWidth="1"/>
    <col min="3081" max="3081" width="5.375" style="3" customWidth="1"/>
    <col min="3082" max="3326" width="9" style="3"/>
    <col min="3327" max="3327" width="14.75" style="3" customWidth="1"/>
    <col min="3328" max="3328" width="26" style="3" customWidth="1"/>
    <col min="3329" max="3329" width="15.125" style="3" customWidth="1"/>
    <col min="3330" max="3330" width="15.375" style="3" customWidth="1"/>
    <col min="3331" max="3331" width="12.375" style="3" customWidth="1"/>
    <col min="3332" max="3332" width="10.875" style="3" customWidth="1"/>
    <col min="3333" max="3333" width="11.375" style="3" customWidth="1"/>
    <col min="3334" max="3334" width="10.75" style="3" customWidth="1"/>
    <col min="3335" max="3335" width="9.25" style="3" customWidth="1"/>
    <col min="3336" max="3336" width="13.5" style="3" customWidth="1"/>
    <col min="3337" max="3337" width="5.375" style="3" customWidth="1"/>
    <col min="3338" max="3582" width="9" style="3"/>
    <col min="3583" max="3583" width="14.75" style="3" customWidth="1"/>
    <col min="3584" max="3584" width="26" style="3" customWidth="1"/>
    <col min="3585" max="3585" width="15.125" style="3" customWidth="1"/>
    <col min="3586" max="3586" width="15.375" style="3" customWidth="1"/>
    <col min="3587" max="3587" width="12.375" style="3" customWidth="1"/>
    <col min="3588" max="3588" width="10.875" style="3" customWidth="1"/>
    <col min="3589" max="3589" width="11.375" style="3" customWidth="1"/>
    <col min="3590" max="3590" width="10.75" style="3" customWidth="1"/>
    <col min="3591" max="3591" width="9.25" style="3" customWidth="1"/>
    <col min="3592" max="3592" width="13.5" style="3" customWidth="1"/>
    <col min="3593" max="3593" width="5.375" style="3" customWidth="1"/>
    <col min="3594" max="3838" width="9" style="3"/>
    <col min="3839" max="3839" width="14.75" style="3" customWidth="1"/>
    <col min="3840" max="3840" width="26" style="3" customWidth="1"/>
    <col min="3841" max="3841" width="15.125" style="3" customWidth="1"/>
    <col min="3842" max="3842" width="15.375" style="3" customWidth="1"/>
    <col min="3843" max="3843" width="12.375" style="3" customWidth="1"/>
    <col min="3844" max="3844" width="10.875" style="3" customWidth="1"/>
    <col min="3845" max="3845" width="11.375" style="3" customWidth="1"/>
    <col min="3846" max="3846" width="10.75" style="3" customWidth="1"/>
    <col min="3847" max="3847" width="9.25" style="3" customWidth="1"/>
    <col min="3848" max="3848" width="13.5" style="3" customWidth="1"/>
    <col min="3849" max="3849" width="5.375" style="3" customWidth="1"/>
    <col min="3850" max="4094" width="9" style="3"/>
    <col min="4095" max="4095" width="14.75" style="3" customWidth="1"/>
    <col min="4096" max="4096" width="26" style="3" customWidth="1"/>
    <col min="4097" max="4097" width="15.125" style="3" customWidth="1"/>
    <col min="4098" max="4098" width="15.375" style="3" customWidth="1"/>
    <col min="4099" max="4099" width="12.375" style="3" customWidth="1"/>
    <col min="4100" max="4100" width="10.875" style="3" customWidth="1"/>
    <col min="4101" max="4101" width="11.375" style="3" customWidth="1"/>
    <col min="4102" max="4102" width="10.75" style="3" customWidth="1"/>
    <col min="4103" max="4103" width="9.25" style="3" customWidth="1"/>
    <col min="4104" max="4104" width="13.5" style="3" customWidth="1"/>
    <col min="4105" max="4105" width="5.375" style="3" customWidth="1"/>
    <col min="4106" max="4350" width="9" style="3"/>
    <col min="4351" max="4351" width="14.75" style="3" customWidth="1"/>
    <col min="4352" max="4352" width="26" style="3" customWidth="1"/>
    <col min="4353" max="4353" width="15.125" style="3" customWidth="1"/>
    <col min="4354" max="4354" width="15.375" style="3" customWidth="1"/>
    <col min="4355" max="4355" width="12.375" style="3" customWidth="1"/>
    <col min="4356" max="4356" width="10.875" style="3" customWidth="1"/>
    <col min="4357" max="4357" width="11.375" style="3" customWidth="1"/>
    <col min="4358" max="4358" width="10.75" style="3" customWidth="1"/>
    <col min="4359" max="4359" width="9.25" style="3" customWidth="1"/>
    <col min="4360" max="4360" width="13.5" style="3" customWidth="1"/>
    <col min="4361" max="4361" width="5.375" style="3" customWidth="1"/>
    <col min="4362" max="4606" width="9" style="3"/>
    <col min="4607" max="4607" width="14.75" style="3" customWidth="1"/>
    <col min="4608" max="4608" width="26" style="3" customWidth="1"/>
    <col min="4609" max="4609" width="15.125" style="3" customWidth="1"/>
    <col min="4610" max="4610" width="15.375" style="3" customWidth="1"/>
    <col min="4611" max="4611" width="12.375" style="3" customWidth="1"/>
    <col min="4612" max="4612" width="10.875" style="3" customWidth="1"/>
    <col min="4613" max="4613" width="11.375" style="3" customWidth="1"/>
    <col min="4614" max="4614" width="10.75" style="3" customWidth="1"/>
    <col min="4615" max="4615" width="9.25" style="3" customWidth="1"/>
    <col min="4616" max="4616" width="13.5" style="3" customWidth="1"/>
    <col min="4617" max="4617" width="5.375" style="3" customWidth="1"/>
    <col min="4618" max="4862" width="9" style="3"/>
    <col min="4863" max="4863" width="14.75" style="3" customWidth="1"/>
    <col min="4864" max="4864" width="26" style="3" customWidth="1"/>
    <col min="4865" max="4865" width="15.125" style="3" customWidth="1"/>
    <col min="4866" max="4866" width="15.375" style="3" customWidth="1"/>
    <col min="4867" max="4867" width="12.375" style="3" customWidth="1"/>
    <col min="4868" max="4868" width="10.875" style="3" customWidth="1"/>
    <col min="4869" max="4869" width="11.375" style="3" customWidth="1"/>
    <col min="4870" max="4870" width="10.75" style="3" customWidth="1"/>
    <col min="4871" max="4871" width="9.25" style="3" customWidth="1"/>
    <col min="4872" max="4872" width="13.5" style="3" customWidth="1"/>
    <col min="4873" max="4873" width="5.375" style="3" customWidth="1"/>
    <col min="4874" max="5118" width="9" style="3"/>
    <col min="5119" max="5119" width="14.75" style="3" customWidth="1"/>
    <col min="5120" max="5120" width="26" style="3" customWidth="1"/>
    <col min="5121" max="5121" width="15.125" style="3" customWidth="1"/>
    <col min="5122" max="5122" width="15.375" style="3" customWidth="1"/>
    <col min="5123" max="5123" width="12.375" style="3" customWidth="1"/>
    <col min="5124" max="5124" width="10.875" style="3" customWidth="1"/>
    <col min="5125" max="5125" width="11.375" style="3" customWidth="1"/>
    <col min="5126" max="5126" width="10.75" style="3" customWidth="1"/>
    <col min="5127" max="5127" width="9.25" style="3" customWidth="1"/>
    <col min="5128" max="5128" width="13.5" style="3" customWidth="1"/>
    <col min="5129" max="5129" width="5.375" style="3" customWidth="1"/>
    <col min="5130" max="5374" width="9" style="3"/>
    <col min="5375" max="5375" width="14.75" style="3" customWidth="1"/>
    <col min="5376" max="5376" width="26" style="3" customWidth="1"/>
    <col min="5377" max="5377" width="15.125" style="3" customWidth="1"/>
    <col min="5378" max="5378" width="15.375" style="3" customWidth="1"/>
    <col min="5379" max="5379" width="12.375" style="3" customWidth="1"/>
    <col min="5380" max="5380" width="10.875" style="3" customWidth="1"/>
    <col min="5381" max="5381" width="11.375" style="3" customWidth="1"/>
    <col min="5382" max="5382" width="10.75" style="3" customWidth="1"/>
    <col min="5383" max="5383" width="9.25" style="3" customWidth="1"/>
    <col min="5384" max="5384" width="13.5" style="3" customWidth="1"/>
    <col min="5385" max="5385" width="5.375" style="3" customWidth="1"/>
    <col min="5386" max="5630" width="9" style="3"/>
    <col min="5631" max="5631" width="14.75" style="3" customWidth="1"/>
    <col min="5632" max="5632" width="26" style="3" customWidth="1"/>
    <col min="5633" max="5633" width="15.125" style="3" customWidth="1"/>
    <col min="5634" max="5634" width="15.375" style="3" customWidth="1"/>
    <col min="5635" max="5635" width="12.375" style="3" customWidth="1"/>
    <col min="5636" max="5636" width="10.875" style="3" customWidth="1"/>
    <col min="5637" max="5637" width="11.375" style="3" customWidth="1"/>
    <col min="5638" max="5638" width="10.75" style="3" customWidth="1"/>
    <col min="5639" max="5639" width="9.25" style="3" customWidth="1"/>
    <col min="5640" max="5640" width="13.5" style="3" customWidth="1"/>
    <col min="5641" max="5641" width="5.375" style="3" customWidth="1"/>
    <col min="5642" max="5886" width="9" style="3"/>
    <col min="5887" max="5887" width="14.75" style="3" customWidth="1"/>
    <col min="5888" max="5888" width="26" style="3" customWidth="1"/>
    <col min="5889" max="5889" width="15.125" style="3" customWidth="1"/>
    <col min="5890" max="5890" width="15.375" style="3" customWidth="1"/>
    <col min="5891" max="5891" width="12.375" style="3" customWidth="1"/>
    <col min="5892" max="5892" width="10.875" style="3" customWidth="1"/>
    <col min="5893" max="5893" width="11.375" style="3" customWidth="1"/>
    <col min="5894" max="5894" width="10.75" style="3" customWidth="1"/>
    <col min="5895" max="5895" width="9.25" style="3" customWidth="1"/>
    <col min="5896" max="5896" width="13.5" style="3" customWidth="1"/>
    <col min="5897" max="5897" width="5.375" style="3" customWidth="1"/>
    <col min="5898" max="6142" width="9" style="3"/>
    <col min="6143" max="6143" width="14.75" style="3" customWidth="1"/>
    <col min="6144" max="6144" width="26" style="3" customWidth="1"/>
    <col min="6145" max="6145" width="15.125" style="3" customWidth="1"/>
    <col min="6146" max="6146" width="15.375" style="3" customWidth="1"/>
    <col min="6147" max="6147" width="12.375" style="3" customWidth="1"/>
    <col min="6148" max="6148" width="10.875" style="3" customWidth="1"/>
    <col min="6149" max="6149" width="11.375" style="3" customWidth="1"/>
    <col min="6150" max="6150" width="10.75" style="3" customWidth="1"/>
    <col min="6151" max="6151" width="9.25" style="3" customWidth="1"/>
    <col min="6152" max="6152" width="13.5" style="3" customWidth="1"/>
    <col min="6153" max="6153" width="5.375" style="3" customWidth="1"/>
    <col min="6154" max="6398" width="9" style="3"/>
    <col min="6399" max="6399" width="14.75" style="3" customWidth="1"/>
    <col min="6400" max="6400" width="26" style="3" customWidth="1"/>
    <col min="6401" max="6401" width="15.125" style="3" customWidth="1"/>
    <col min="6402" max="6402" width="15.375" style="3" customWidth="1"/>
    <col min="6403" max="6403" width="12.375" style="3" customWidth="1"/>
    <col min="6404" max="6404" width="10.875" style="3" customWidth="1"/>
    <col min="6405" max="6405" width="11.375" style="3" customWidth="1"/>
    <col min="6406" max="6406" width="10.75" style="3" customWidth="1"/>
    <col min="6407" max="6407" width="9.25" style="3" customWidth="1"/>
    <col min="6408" max="6408" width="13.5" style="3" customWidth="1"/>
    <col min="6409" max="6409" width="5.375" style="3" customWidth="1"/>
    <col min="6410" max="6654" width="9" style="3"/>
    <col min="6655" max="6655" width="14.75" style="3" customWidth="1"/>
    <col min="6656" max="6656" width="26" style="3" customWidth="1"/>
    <col min="6657" max="6657" width="15.125" style="3" customWidth="1"/>
    <col min="6658" max="6658" width="15.375" style="3" customWidth="1"/>
    <col min="6659" max="6659" width="12.375" style="3" customWidth="1"/>
    <col min="6660" max="6660" width="10.875" style="3" customWidth="1"/>
    <col min="6661" max="6661" width="11.375" style="3" customWidth="1"/>
    <col min="6662" max="6662" width="10.75" style="3" customWidth="1"/>
    <col min="6663" max="6663" width="9.25" style="3" customWidth="1"/>
    <col min="6664" max="6664" width="13.5" style="3" customWidth="1"/>
    <col min="6665" max="6665" width="5.375" style="3" customWidth="1"/>
    <col min="6666" max="6910" width="9" style="3"/>
    <col min="6911" max="6911" width="14.75" style="3" customWidth="1"/>
    <col min="6912" max="6912" width="26" style="3" customWidth="1"/>
    <col min="6913" max="6913" width="15.125" style="3" customWidth="1"/>
    <col min="6914" max="6914" width="15.375" style="3" customWidth="1"/>
    <col min="6915" max="6915" width="12.375" style="3" customWidth="1"/>
    <col min="6916" max="6916" width="10.875" style="3" customWidth="1"/>
    <col min="6917" max="6917" width="11.375" style="3" customWidth="1"/>
    <col min="6918" max="6918" width="10.75" style="3" customWidth="1"/>
    <col min="6919" max="6919" width="9.25" style="3" customWidth="1"/>
    <col min="6920" max="6920" width="13.5" style="3" customWidth="1"/>
    <col min="6921" max="6921" width="5.375" style="3" customWidth="1"/>
    <col min="6922" max="7166" width="9" style="3"/>
    <col min="7167" max="7167" width="14.75" style="3" customWidth="1"/>
    <col min="7168" max="7168" width="26" style="3" customWidth="1"/>
    <col min="7169" max="7169" width="15.125" style="3" customWidth="1"/>
    <col min="7170" max="7170" width="15.375" style="3" customWidth="1"/>
    <col min="7171" max="7171" width="12.375" style="3" customWidth="1"/>
    <col min="7172" max="7172" width="10.875" style="3" customWidth="1"/>
    <col min="7173" max="7173" width="11.375" style="3" customWidth="1"/>
    <col min="7174" max="7174" width="10.75" style="3" customWidth="1"/>
    <col min="7175" max="7175" width="9.25" style="3" customWidth="1"/>
    <col min="7176" max="7176" width="13.5" style="3" customWidth="1"/>
    <col min="7177" max="7177" width="5.375" style="3" customWidth="1"/>
    <col min="7178" max="7422" width="9" style="3"/>
    <col min="7423" max="7423" width="14.75" style="3" customWidth="1"/>
    <col min="7424" max="7424" width="26" style="3" customWidth="1"/>
    <col min="7425" max="7425" width="15.125" style="3" customWidth="1"/>
    <col min="7426" max="7426" width="15.375" style="3" customWidth="1"/>
    <col min="7427" max="7427" width="12.375" style="3" customWidth="1"/>
    <col min="7428" max="7428" width="10.875" style="3" customWidth="1"/>
    <col min="7429" max="7429" width="11.375" style="3" customWidth="1"/>
    <col min="7430" max="7430" width="10.75" style="3" customWidth="1"/>
    <col min="7431" max="7431" width="9.25" style="3" customWidth="1"/>
    <col min="7432" max="7432" width="13.5" style="3" customWidth="1"/>
    <col min="7433" max="7433" width="5.375" style="3" customWidth="1"/>
    <col min="7434" max="7678" width="9" style="3"/>
    <col min="7679" max="7679" width="14.75" style="3" customWidth="1"/>
    <col min="7680" max="7680" width="26" style="3" customWidth="1"/>
    <col min="7681" max="7681" width="15.125" style="3" customWidth="1"/>
    <col min="7682" max="7682" width="15.375" style="3" customWidth="1"/>
    <col min="7683" max="7683" width="12.375" style="3" customWidth="1"/>
    <col min="7684" max="7684" width="10.875" style="3" customWidth="1"/>
    <col min="7685" max="7685" width="11.375" style="3" customWidth="1"/>
    <col min="7686" max="7686" width="10.75" style="3" customWidth="1"/>
    <col min="7687" max="7687" width="9.25" style="3" customWidth="1"/>
    <col min="7688" max="7688" width="13.5" style="3" customWidth="1"/>
    <col min="7689" max="7689" width="5.375" style="3" customWidth="1"/>
    <col min="7690" max="7934" width="9" style="3"/>
    <col min="7935" max="7935" width="14.75" style="3" customWidth="1"/>
    <col min="7936" max="7936" width="26" style="3" customWidth="1"/>
    <col min="7937" max="7937" width="15.125" style="3" customWidth="1"/>
    <col min="7938" max="7938" width="15.375" style="3" customWidth="1"/>
    <col min="7939" max="7939" width="12.375" style="3" customWidth="1"/>
    <col min="7940" max="7940" width="10.875" style="3" customWidth="1"/>
    <col min="7941" max="7941" width="11.375" style="3" customWidth="1"/>
    <col min="7942" max="7942" width="10.75" style="3" customWidth="1"/>
    <col min="7943" max="7943" width="9.25" style="3" customWidth="1"/>
    <col min="7944" max="7944" width="13.5" style="3" customWidth="1"/>
    <col min="7945" max="7945" width="5.375" style="3" customWidth="1"/>
    <col min="7946" max="8190" width="9" style="3"/>
    <col min="8191" max="8191" width="14.75" style="3" customWidth="1"/>
    <col min="8192" max="8192" width="26" style="3" customWidth="1"/>
    <col min="8193" max="8193" width="15.125" style="3" customWidth="1"/>
    <col min="8194" max="8194" width="15.375" style="3" customWidth="1"/>
    <col min="8195" max="8195" width="12.375" style="3" customWidth="1"/>
    <col min="8196" max="8196" width="10.875" style="3" customWidth="1"/>
    <col min="8197" max="8197" width="11.375" style="3" customWidth="1"/>
    <col min="8198" max="8198" width="10.75" style="3" customWidth="1"/>
    <col min="8199" max="8199" width="9.25" style="3" customWidth="1"/>
    <col min="8200" max="8200" width="13.5" style="3" customWidth="1"/>
    <col min="8201" max="8201" width="5.375" style="3" customWidth="1"/>
    <col min="8202" max="8446" width="9" style="3"/>
    <col min="8447" max="8447" width="14.75" style="3" customWidth="1"/>
    <col min="8448" max="8448" width="26" style="3" customWidth="1"/>
    <col min="8449" max="8449" width="15.125" style="3" customWidth="1"/>
    <col min="8450" max="8450" width="15.375" style="3" customWidth="1"/>
    <col min="8451" max="8451" width="12.375" style="3" customWidth="1"/>
    <col min="8452" max="8452" width="10.875" style="3" customWidth="1"/>
    <col min="8453" max="8453" width="11.375" style="3" customWidth="1"/>
    <col min="8454" max="8454" width="10.75" style="3" customWidth="1"/>
    <col min="8455" max="8455" width="9.25" style="3" customWidth="1"/>
    <col min="8456" max="8456" width="13.5" style="3" customWidth="1"/>
    <col min="8457" max="8457" width="5.375" style="3" customWidth="1"/>
    <col min="8458" max="8702" width="9" style="3"/>
    <col min="8703" max="8703" width="14.75" style="3" customWidth="1"/>
    <col min="8704" max="8704" width="26" style="3" customWidth="1"/>
    <col min="8705" max="8705" width="15.125" style="3" customWidth="1"/>
    <col min="8706" max="8706" width="15.375" style="3" customWidth="1"/>
    <col min="8707" max="8707" width="12.375" style="3" customWidth="1"/>
    <col min="8708" max="8708" width="10.875" style="3" customWidth="1"/>
    <col min="8709" max="8709" width="11.375" style="3" customWidth="1"/>
    <col min="8710" max="8710" width="10.75" style="3" customWidth="1"/>
    <col min="8711" max="8711" width="9.25" style="3" customWidth="1"/>
    <col min="8712" max="8712" width="13.5" style="3" customWidth="1"/>
    <col min="8713" max="8713" width="5.375" style="3" customWidth="1"/>
    <col min="8714" max="8958" width="9" style="3"/>
    <col min="8959" max="8959" width="14.75" style="3" customWidth="1"/>
    <col min="8960" max="8960" width="26" style="3" customWidth="1"/>
    <col min="8961" max="8961" width="15.125" style="3" customWidth="1"/>
    <col min="8962" max="8962" width="15.375" style="3" customWidth="1"/>
    <col min="8963" max="8963" width="12.375" style="3" customWidth="1"/>
    <col min="8964" max="8964" width="10.875" style="3" customWidth="1"/>
    <col min="8965" max="8965" width="11.375" style="3" customWidth="1"/>
    <col min="8966" max="8966" width="10.75" style="3" customWidth="1"/>
    <col min="8967" max="8967" width="9.25" style="3" customWidth="1"/>
    <col min="8968" max="8968" width="13.5" style="3" customWidth="1"/>
    <col min="8969" max="8969" width="5.375" style="3" customWidth="1"/>
    <col min="8970" max="9214" width="9" style="3"/>
    <col min="9215" max="9215" width="14.75" style="3" customWidth="1"/>
    <col min="9216" max="9216" width="26" style="3" customWidth="1"/>
    <col min="9217" max="9217" width="15.125" style="3" customWidth="1"/>
    <col min="9218" max="9218" width="15.375" style="3" customWidth="1"/>
    <col min="9219" max="9219" width="12.375" style="3" customWidth="1"/>
    <col min="9220" max="9220" width="10.875" style="3" customWidth="1"/>
    <col min="9221" max="9221" width="11.375" style="3" customWidth="1"/>
    <col min="9222" max="9222" width="10.75" style="3" customWidth="1"/>
    <col min="9223" max="9223" width="9.25" style="3" customWidth="1"/>
    <col min="9224" max="9224" width="13.5" style="3" customWidth="1"/>
    <col min="9225" max="9225" width="5.375" style="3" customWidth="1"/>
    <col min="9226" max="9470" width="9" style="3"/>
    <col min="9471" max="9471" width="14.75" style="3" customWidth="1"/>
    <col min="9472" max="9472" width="26" style="3" customWidth="1"/>
    <col min="9473" max="9473" width="15.125" style="3" customWidth="1"/>
    <col min="9474" max="9474" width="15.375" style="3" customWidth="1"/>
    <col min="9475" max="9475" width="12.375" style="3" customWidth="1"/>
    <col min="9476" max="9476" width="10.875" style="3" customWidth="1"/>
    <col min="9477" max="9477" width="11.375" style="3" customWidth="1"/>
    <col min="9478" max="9478" width="10.75" style="3" customWidth="1"/>
    <col min="9479" max="9479" width="9.25" style="3" customWidth="1"/>
    <col min="9480" max="9480" width="13.5" style="3" customWidth="1"/>
    <col min="9481" max="9481" width="5.375" style="3" customWidth="1"/>
    <col min="9482" max="9726" width="9" style="3"/>
    <col min="9727" max="9727" width="14.75" style="3" customWidth="1"/>
    <col min="9728" max="9728" width="26" style="3" customWidth="1"/>
    <col min="9729" max="9729" width="15.125" style="3" customWidth="1"/>
    <col min="9730" max="9730" width="15.375" style="3" customWidth="1"/>
    <col min="9731" max="9731" width="12.375" style="3" customWidth="1"/>
    <col min="9732" max="9732" width="10.875" style="3" customWidth="1"/>
    <col min="9733" max="9733" width="11.375" style="3" customWidth="1"/>
    <col min="9734" max="9734" width="10.75" style="3" customWidth="1"/>
    <col min="9735" max="9735" width="9.25" style="3" customWidth="1"/>
    <col min="9736" max="9736" width="13.5" style="3" customWidth="1"/>
    <col min="9737" max="9737" width="5.375" style="3" customWidth="1"/>
    <col min="9738" max="9982" width="9" style="3"/>
    <col min="9983" max="9983" width="14.75" style="3" customWidth="1"/>
    <col min="9984" max="9984" width="26" style="3" customWidth="1"/>
    <col min="9985" max="9985" width="15.125" style="3" customWidth="1"/>
    <col min="9986" max="9986" width="15.375" style="3" customWidth="1"/>
    <col min="9987" max="9987" width="12.375" style="3" customWidth="1"/>
    <col min="9988" max="9988" width="10.875" style="3" customWidth="1"/>
    <col min="9989" max="9989" width="11.375" style="3" customWidth="1"/>
    <col min="9990" max="9990" width="10.75" style="3" customWidth="1"/>
    <col min="9991" max="9991" width="9.25" style="3" customWidth="1"/>
    <col min="9992" max="9992" width="13.5" style="3" customWidth="1"/>
    <col min="9993" max="9993" width="5.375" style="3" customWidth="1"/>
    <col min="9994" max="10238" width="9" style="3"/>
    <col min="10239" max="10239" width="14.75" style="3" customWidth="1"/>
    <col min="10240" max="10240" width="26" style="3" customWidth="1"/>
    <col min="10241" max="10241" width="15.125" style="3" customWidth="1"/>
    <col min="10242" max="10242" width="15.375" style="3" customWidth="1"/>
    <col min="10243" max="10243" width="12.375" style="3" customWidth="1"/>
    <col min="10244" max="10244" width="10.875" style="3" customWidth="1"/>
    <col min="10245" max="10245" width="11.375" style="3" customWidth="1"/>
    <col min="10246" max="10246" width="10.75" style="3" customWidth="1"/>
    <col min="10247" max="10247" width="9.25" style="3" customWidth="1"/>
    <col min="10248" max="10248" width="13.5" style="3" customWidth="1"/>
    <col min="10249" max="10249" width="5.375" style="3" customWidth="1"/>
    <col min="10250" max="10494" width="9" style="3"/>
    <col min="10495" max="10495" width="14.75" style="3" customWidth="1"/>
    <col min="10496" max="10496" width="26" style="3" customWidth="1"/>
    <col min="10497" max="10497" width="15.125" style="3" customWidth="1"/>
    <col min="10498" max="10498" width="15.375" style="3" customWidth="1"/>
    <col min="10499" max="10499" width="12.375" style="3" customWidth="1"/>
    <col min="10500" max="10500" width="10.875" style="3" customWidth="1"/>
    <col min="10501" max="10501" width="11.375" style="3" customWidth="1"/>
    <col min="10502" max="10502" width="10.75" style="3" customWidth="1"/>
    <col min="10503" max="10503" width="9.25" style="3" customWidth="1"/>
    <col min="10504" max="10504" width="13.5" style="3" customWidth="1"/>
    <col min="10505" max="10505" width="5.375" style="3" customWidth="1"/>
    <col min="10506" max="10750" width="9" style="3"/>
    <col min="10751" max="10751" width="14.75" style="3" customWidth="1"/>
    <col min="10752" max="10752" width="26" style="3" customWidth="1"/>
    <col min="10753" max="10753" width="15.125" style="3" customWidth="1"/>
    <col min="10754" max="10754" width="15.375" style="3" customWidth="1"/>
    <col min="10755" max="10755" width="12.375" style="3" customWidth="1"/>
    <col min="10756" max="10756" width="10.875" style="3" customWidth="1"/>
    <col min="10757" max="10757" width="11.375" style="3" customWidth="1"/>
    <col min="10758" max="10758" width="10.75" style="3" customWidth="1"/>
    <col min="10759" max="10759" width="9.25" style="3" customWidth="1"/>
    <col min="10760" max="10760" width="13.5" style="3" customWidth="1"/>
    <col min="10761" max="10761" width="5.375" style="3" customWidth="1"/>
    <col min="10762" max="11006" width="9" style="3"/>
    <col min="11007" max="11007" width="14.75" style="3" customWidth="1"/>
    <col min="11008" max="11008" width="26" style="3" customWidth="1"/>
    <col min="11009" max="11009" width="15.125" style="3" customWidth="1"/>
    <col min="11010" max="11010" width="15.375" style="3" customWidth="1"/>
    <col min="11011" max="11011" width="12.375" style="3" customWidth="1"/>
    <col min="11012" max="11012" width="10.875" style="3" customWidth="1"/>
    <col min="11013" max="11013" width="11.375" style="3" customWidth="1"/>
    <col min="11014" max="11014" width="10.75" style="3" customWidth="1"/>
    <col min="11015" max="11015" width="9.25" style="3" customWidth="1"/>
    <col min="11016" max="11016" width="13.5" style="3" customWidth="1"/>
    <col min="11017" max="11017" width="5.375" style="3" customWidth="1"/>
    <col min="11018" max="11262" width="9" style="3"/>
    <col min="11263" max="11263" width="14.75" style="3" customWidth="1"/>
    <col min="11264" max="11264" width="26" style="3" customWidth="1"/>
    <col min="11265" max="11265" width="15.125" style="3" customWidth="1"/>
    <col min="11266" max="11266" width="15.375" style="3" customWidth="1"/>
    <col min="11267" max="11267" width="12.375" style="3" customWidth="1"/>
    <col min="11268" max="11268" width="10.875" style="3" customWidth="1"/>
    <col min="11269" max="11269" width="11.375" style="3" customWidth="1"/>
    <col min="11270" max="11270" width="10.75" style="3" customWidth="1"/>
    <col min="11271" max="11271" width="9.25" style="3" customWidth="1"/>
    <col min="11272" max="11272" width="13.5" style="3" customWidth="1"/>
    <col min="11273" max="11273" width="5.375" style="3" customWidth="1"/>
    <col min="11274" max="11518" width="9" style="3"/>
    <col min="11519" max="11519" width="14.75" style="3" customWidth="1"/>
    <col min="11520" max="11520" width="26" style="3" customWidth="1"/>
    <col min="11521" max="11521" width="15.125" style="3" customWidth="1"/>
    <col min="11522" max="11522" width="15.375" style="3" customWidth="1"/>
    <col min="11523" max="11523" width="12.375" style="3" customWidth="1"/>
    <col min="11524" max="11524" width="10.875" style="3" customWidth="1"/>
    <col min="11525" max="11525" width="11.375" style="3" customWidth="1"/>
    <col min="11526" max="11526" width="10.75" style="3" customWidth="1"/>
    <col min="11527" max="11527" width="9.25" style="3" customWidth="1"/>
    <col min="11528" max="11528" width="13.5" style="3" customWidth="1"/>
    <col min="11529" max="11529" width="5.375" style="3" customWidth="1"/>
    <col min="11530" max="11774" width="9" style="3"/>
    <col min="11775" max="11775" width="14.75" style="3" customWidth="1"/>
    <col min="11776" max="11776" width="26" style="3" customWidth="1"/>
    <col min="11777" max="11777" width="15.125" style="3" customWidth="1"/>
    <col min="11778" max="11778" width="15.375" style="3" customWidth="1"/>
    <col min="11779" max="11779" width="12.375" style="3" customWidth="1"/>
    <col min="11780" max="11780" width="10.875" style="3" customWidth="1"/>
    <col min="11781" max="11781" width="11.375" style="3" customWidth="1"/>
    <col min="11782" max="11782" width="10.75" style="3" customWidth="1"/>
    <col min="11783" max="11783" width="9.25" style="3" customWidth="1"/>
    <col min="11784" max="11784" width="13.5" style="3" customWidth="1"/>
    <col min="11785" max="11785" width="5.375" style="3" customWidth="1"/>
    <col min="11786" max="12030" width="9" style="3"/>
    <col min="12031" max="12031" width="14.75" style="3" customWidth="1"/>
    <col min="12032" max="12032" width="26" style="3" customWidth="1"/>
    <col min="12033" max="12033" width="15.125" style="3" customWidth="1"/>
    <col min="12034" max="12034" width="15.375" style="3" customWidth="1"/>
    <col min="12035" max="12035" width="12.375" style="3" customWidth="1"/>
    <col min="12036" max="12036" width="10.875" style="3" customWidth="1"/>
    <col min="12037" max="12037" width="11.375" style="3" customWidth="1"/>
    <col min="12038" max="12038" width="10.75" style="3" customWidth="1"/>
    <col min="12039" max="12039" width="9.25" style="3" customWidth="1"/>
    <col min="12040" max="12040" width="13.5" style="3" customWidth="1"/>
    <col min="12041" max="12041" width="5.375" style="3" customWidth="1"/>
    <col min="12042" max="12286" width="9" style="3"/>
    <col min="12287" max="12287" width="14.75" style="3" customWidth="1"/>
    <col min="12288" max="12288" width="26" style="3" customWidth="1"/>
    <col min="12289" max="12289" width="15.125" style="3" customWidth="1"/>
    <col min="12290" max="12290" width="15.375" style="3" customWidth="1"/>
    <col min="12291" max="12291" width="12.375" style="3" customWidth="1"/>
    <col min="12292" max="12292" width="10.875" style="3" customWidth="1"/>
    <col min="12293" max="12293" width="11.375" style="3" customWidth="1"/>
    <col min="12294" max="12294" width="10.75" style="3" customWidth="1"/>
    <col min="12295" max="12295" width="9.25" style="3" customWidth="1"/>
    <col min="12296" max="12296" width="13.5" style="3" customWidth="1"/>
    <col min="12297" max="12297" width="5.375" style="3" customWidth="1"/>
    <col min="12298" max="12542" width="9" style="3"/>
    <col min="12543" max="12543" width="14.75" style="3" customWidth="1"/>
    <col min="12544" max="12544" width="26" style="3" customWidth="1"/>
    <col min="12545" max="12545" width="15.125" style="3" customWidth="1"/>
    <col min="12546" max="12546" width="15.375" style="3" customWidth="1"/>
    <col min="12547" max="12547" width="12.375" style="3" customWidth="1"/>
    <col min="12548" max="12548" width="10.875" style="3" customWidth="1"/>
    <col min="12549" max="12549" width="11.375" style="3" customWidth="1"/>
    <col min="12550" max="12550" width="10.75" style="3" customWidth="1"/>
    <col min="12551" max="12551" width="9.25" style="3" customWidth="1"/>
    <col min="12552" max="12552" width="13.5" style="3" customWidth="1"/>
    <col min="12553" max="12553" width="5.375" style="3" customWidth="1"/>
    <col min="12554" max="12798" width="9" style="3"/>
    <col min="12799" max="12799" width="14.75" style="3" customWidth="1"/>
    <col min="12800" max="12800" width="26" style="3" customWidth="1"/>
    <col min="12801" max="12801" width="15.125" style="3" customWidth="1"/>
    <col min="12802" max="12802" width="15.375" style="3" customWidth="1"/>
    <col min="12803" max="12803" width="12.375" style="3" customWidth="1"/>
    <col min="12804" max="12804" width="10.875" style="3" customWidth="1"/>
    <col min="12805" max="12805" width="11.375" style="3" customWidth="1"/>
    <col min="12806" max="12806" width="10.75" style="3" customWidth="1"/>
    <col min="12807" max="12807" width="9.25" style="3" customWidth="1"/>
    <col min="12808" max="12808" width="13.5" style="3" customWidth="1"/>
    <col min="12809" max="12809" width="5.375" style="3" customWidth="1"/>
    <col min="12810" max="13054" width="9" style="3"/>
    <col min="13055" max="13055" width="14.75" style="3" customWidth="1"/>
    <col min="13056" max="13056" width="26" style="3" customWidth="1"/>
    <col min="13057" max="13057" width="15.125" style="3" customWidth="1"/>
    <col min="13058" max="13058" width="15.375" style="3" customWidth="1"/>
    <col min="13059" max="13059" width="12.375" style="3" customWidth="1"/>
    <col min="13060" max="13060" width="10.875" style="3" customWidth="1"/>
    <col min="13061" max="13061" width="11.375" style="3" customWidth="1"/>
    <col min="13062" max="13062" width="10.75" style="3" customWidth="1"/>
    <col min="13063" max="13063" width="9.25" style="3" customWidth="1"/>
    <col min="13064" max="13064" width="13.5" style="3" customWidth="1"/>
    <col min="13065" max="13065" width="5.375" style="3" customWidth="1"/>
    <col min="13066" max="13310" width="9" style="3"/>
    <col min="13311" max="13311" width="14.75" style="3" customWidth="1"/>
    <col min="13312" max="13312" width="26" style="3" customWidth="1"/>
    <col min="13313" max="13313" width="15.125" style="3" customWidth="1"/>
    <col min="13314" max="13314" width="15.375" style="3" customWidth="1"/>
    <col min="13315" max="13315" width="12.375" style="3" customWidth="1"/>
    <col min="13316" max="13316" width="10.875" style="3" customWidth="1"/>
    <col min="13317" max="13317" width="11.375" style="3" customWidth="1"/>
    <col min="13318" max="13318" width="10.75" style="3" customWidth="1"/>
    <col min="13319" max="13319" width="9.25" style="3" customWidth="1"/>
    <col min="13320" max="13320" width="13.5" style="3" customWidth="1"/>
    <col min="13321" max="13321" width="5.375" style="3" customWidth="1"/>
    <col min="13322" max="13566" width="9" style="3"/>
    <col min="13567" max="13567" width="14.75" style="3" customWidth="1"/>
    <col min="13568" max="13568" width="26" style="3" customWidth="1"/>
    <col min="13569" max="13569" width="15.125" style="3" customWidth="1"/>
    <col min="13570" max="13570" width="15.375" style="3" customWidth="1"/>
    <col min="13571" max="13571" width="12.375" style="3" customWidth="1"/>
    <col min="13572" max="13572" width="10.875" style="3" customWidth="1"/>
    <col min="13573" max="13573" width="11.375" style="3" customWidth="1"/>
    <col min="13574" max="13574" width="10.75" style="3" customWidth="1"/>
    <col min="13575" max="13575" width="9.25" style="3" customWidth="1"/>
    <col min="13576" max="13576" width="13.5" style="3" customWidth="1"/>
    <col min="13577" max="13577" width="5.375" style="3" customWidth="1"/>
    <col min="13578" max="13822" width="9" style="3"/>
    <col min="13823" max="13823" width="14.75" style="3" customWidth="1"/>
    <col min="13824" max="13824" width="26" style="3" customWidth="1"/>
    <col min="13825" max="13825" width="15.125" style="3" customWidth="1"/>
    <col min="13826" max="13826" width="15.375" style="3" customWidth="1"/>
    <col min="13827" max="13827" width="12.375" style="3" customWidth="1"/>
    <col min="13828" max="13828" width="10.875" style="3" customWidth="1"/>
    <col min="13829" max="13829" width="11.375" style="3" customWidth="1"/>
    <col min="13830" max="13830" width="10.75" style="3" customWidth="1"/>
    <col min="13831" max="13831" width="9.25" style="3" customWidth="1"/>
    <col min="13832" max="13832" width="13.5" style="3" customWidth="1"/>
    <col min="13833" max="13833" width="5.375" style="3" customWidth="1"/>
    <col min="13834" max="14078" width="9" style="3"/>
    <col min="14079" max="14079" width="14.75" style="3" customWidth="1"/>
    <col min="14080" max="14080" width="26" style="3" customWidth="1"/>
    <col min="14081" max="14081" width="15.125" style="3" customWidth="1"/>
    <col min="14082" max="14082" width="15.375" style="3" customWidth="1"/>
    <col min="14083" max="14083" width="12.375" style="3" customWidth="1"/>
    <col min="14084" max="14084" width="10.875" style="3" customWidth="1"/>
    <col min="14085" max="14085" width="11.375" style="3" customWidth="1"/>
    <col min="14086" max="14086" width="10.75" style="3" customWidth="1"/>
    <col min="14087" max="14087" width="9.25" style="3" customWidth="1"/>
    <col min="14088" max="14088" width="13.5" style="3" customWidth="1"/>
    <col min="14089" max="14089" width="5.375" style="3" customWidth="1"/>
    <col min="14090" max="14334" width="9" style="3"/>
    <col min="14335" max="14335" width="14.75" style="3" customWidth="1"/>
    <col min="14336" max="14336" width="26" style="3" customWidth="1"/>
    <col min="14337" max="14337" width="15.125" style="3" customWidth="1"/>
    <col min="14338" max="14338" width="15.375" style="3" customWidth="1"/>
    <col min="14339" max="14339" width="12.375" style="3" customWidth="1"/>
    <col min="14340" max="14340" width="10.875" style="3" customWidth="1"/>
    <col min="14341" max="14341" width="11.375" style="3" customWidth="1"/>
    <col min="14342" max="14342" width="10.75" style="3" customWidth="1"/>
    <col min="14343" max="14343" width="9.25" style="3" customWidth="1"/>
    <col min="14344" max="14344" width="13.5" style="3" customWidth="1"/>
    <col min="14345" max="14345" width="5.375" style="3" customWidth="1"/>
    <col min="14346" max="14590" width="9" style="3"/>
    <col min="14591" max="14591" width="14.75" style="3" customWidth="1"/>
    <col min="14592" max="14592" width="26" style="3" customWidth="1"/>
    <col min="14593" max="14593" width="15.125" style="3" customWidth="1"/>
    <col min="14594" max="14594" width="15.375" style="3" customWidth="1"/>
    <col min="14595" max="14595" width="12.375" style="3" customWidth="1"/>
    <col min="14596" max="14596" width="10.875" style="3" customWidth="1"/>
    <col min="14597" max="14597" width="11.375" style="3" customWidth="1"/>
    <col min="14598" max="14598" width="10.75" style="3" customWidth="1"/>
    <col min="14599" max="14599" width="9.25" style="3" customWidth="1"/>
    <col min="14600" max="14600" width="13.5" style="3" customWidth="1"/>
    <col min="14601" max="14601" width="5.375" style="3" customWidth="1"/>
    <col min="14602" max="14846" width="9" style="3"/>
    <col min="14847" max="14847" width="14.75" style="3" customWidth="1"/>
    <col min="14848" max="14848" width="26" style="3" customWidth="1"/>
    <col min="14849" max="14849" width="15.125" style="3" customWidth="1"/>
    <col min="14850" max="14850" width="15.375" style="3" customWidth="1"/>
    <col min="14851" max="14851" width="12.375" style="3" customWidth="1"/>
    <col min="14852" max="14852" width="10.875" style="3" customWidth="1"/>
    <col min="14853" max="14853" width="11.375" style="3" customWidth="1"/>
    <col min="14854" max="14854" width="10.75" style="3" customWidth="1"/>
    <col min="14855" max="14855" width="9.25" style="3" customWidth="1"/>
    <col min="14856" max="14856" width="13.5" style="3" customWidth="1"/>
    <col min="14857" max="14857" width="5.375" style="3" customWidth="1"/>
    <col min="14858" max="15102" width="9" style="3"/>
    <col min="15103" max="15103" width="14.75" style="3" customWidth="1"/>
    <col min="15104" max="15104" width="26" style="3" customWidth="1"/>
    <col min="15105" max="15105" width="15.125" style="3" customWidth="1"/>
    <col min="15106" max="15106" width="15.375" style="3" customWidth="1"/>
    <col min="15107" max="15107" width="12.375" style="3" customWidth="1"/>
    <col min="15108" max="15108" width="10.875" style="3" customWidth="1"/>
    <col min="15109" max="15109" width="11.375" style="3" customWidth="1"/>
    <col min="15110" max="15110" width="10.75" style="3" customWidth="1"/>
    <col min="15111" max="15111" width="9.25" style="3" customWidth="1"/>
    <col min="15112" max="15112" width="13.5" style="3" customWidth="1"/>
    <col min="15113" max="15113" width="5.375" style="3" customWidth="1"/>
    <col min="15114" max="15358" width="9" style="3"/>
    <col min="15359" max="15359" width="14.75" style="3" customWidth="1"/>
    <col min="15360" max="15360" width="26" style="3" customWidth="1"/>
    <col min="15361" max="15361" width="15.125" style="3" customWidth="1"/>
    <col min="15362" max="15362" width="15.375" style="3" customWidth="1"/>
    <col min="15363" max="15363" width="12.375" style="3" customWidth="1"/>
    <col min="15364" max="15364" width="10.875" style="3" customWidth="1"/>
    <col min="15365" max="15365" width="11.375" style="3" customWidth="1"/>
    <col min="15366" max="15366" width="10.75" style="3" customWidth="1"/>
    <col min="15367" max="15367" width="9.25" style="3" customWidth="1"/>
    <col min="15368" max="15368" width="13.5" style="3" customWidth="1"/>
    <col min="15369" max="15369" width="5.375" style="3" customWidth="1"/>
    <col min="15370" max="15614" width="9" style="3"/>
    <col min="15615" max="15615" width="14.75" style="3" customWidth="1"/>
    <col min="15616" max="15616" width="26" style="3" customWidth="1"/>
    <col min="15617" max="15617" width="15.125" style="3" customWidth="1"/>
    <col min="15618" max="15618" width="15.375" style="3" customWidth="1"/>
    <col min="15619" max="15619" width="12.375" style="3" customWidth="1"/>
    <col min="15620" max="15620" width="10.875" style="3" customWidth="1"/>
    <col min="15621" max="15621" width="11.375" style="3" customWidth="1"/>
    <col min="15622" max="15622" width="10.75" style="3" customWidth="1"/>
    <col min="15623" max="15623" width="9.25" style="3" customWidth="1"/>
    <col min="15624" max="15624" width="13.5" style="3" customWidth="1"/>
    <col min="15625" max="15625" width="5.375" style="3" customWidth="1"/>
    <col min="15626" max="15870" width="9" style="3"/>
    <col min="15871" max="15871" width="14.75" style="3" customWidth="1"/>
    <col min="15872" max="15872" width="26" style="3" customWidth="1"/>
    <col min="15873" max="15873" width="15.125" style="3" customWidth="1"/>
    <col min="15874" max="15874" width="15.375" style="3" customWidth="1"/>
    <col min="15875" max="15875" width="12.375" style="3" customWidth="1"/>
    <col min="15876" max="15876" width="10.875" style="3" customWidth="1"/>
    <col min="15877" max="15877" width="11.375" style="3" customWidth="1"/>
    <col min="15878" max="15878" width="10.75" style="3" customWidth="1"/>
    <col min="15879" max="15879" width="9.25" style="3" customWidth="1"/>
    <col min="15880" max="15880" width="13.5" style="3" customWidth="1"/>
    <col min="15881" max="15881" width="5.375" style="3" customWidth="1"/>
    <col min="15882" max="16126" width="9" style="3"/>
    <col min="16127" max="16127" width="14.75" style="3" customWidth="1"/>
    <col min="16128" max="16128" width="26" style="3" customWidth="1"/>
    <col min="16129" max="16129" width="15.125" style="3" customWidth="1"/>
    <col min="16130" max="16130" width="15.375" style="3" customWidth="1"/>
    <col min="16131" max="16131" width="12.375" style="3" customWidth="1"/>
    <col min="16132" max="16132" width="10.875" style="3" customWidth="1"/>
    <col min="16133" max="16133" width="11.375" style="3" customWidth="1"/>
    <col min="16134" max="16134" width="10.75" style="3" customWidth="1"/>
    <col min="16135" max="16135" width="9.25" style="3" customWidth="1"/>
    <col min="16136" max="16136" width="13.5" style="3" customWidth="1"/>
    <col min="16137" max="16137" width="5.375" style="3" customWidth="1"/>
    <col min="16138" max="16383" width="9" style="3"/>
  </cols>
  <sheetData>
    <row r="1" s="1" customFormat="1" ht="54" customHeight="1" spans="1:15">
      <c r="A1" s="5" t="s">
        <v>0</v>
      </c>
      <c r="B1" s="5"/>
      <c r="C1" s="5"/>
      <c r="D1" s="5"/>
      <c r="E1" s="5"/>
      <c r="F1" s="6"/>
      <c r="G1" s="5"/>
      <c r="H1" s="5"/>
      <c r="I1" s="5"/>
      <c r="J1" s="5"/>
      <c r="K1" s="7"/>
      <c r="L1" s="7"/>
      <c r="M1" s="7"/>
      <c r="N1" s="7"/>
      <c r="O1" s="7"/>
    </row>
    <row r="2" s="1" customFormat="1" ht="44" customHeight="1" spans="1:15">
      <c r="A2" s="8" t="s">
        <v>1</v>
      </c>
      <c r="B2" s="8"/>
      <c r="C2" s="8"/>
      <c r="D2" s="8"/>
      <c r="E2" s="8"/>
      <c r="F2" s="9"/>
      <c r="G2" s="8"/>
      <c r="H2" s="8"/>
      <c r="I2" s="8"/>
      <c r="J2" s="8"/>
      <c r="K2" s="10"/>
      <c r="L2" s="10"/>
      <c r="M2" s="10"/>
      <c r="N2" s="10"/>
      <c r="O2" s="10"/>
    </row>
    <row r="3" ht="15" spans="1:15">
      <c r="A3" s="11"/>
      <c r="B3" s="12"/>
      <c r="C3" s="12"/>
      <c r="D3" s="12"/>
      <c r="E3" s="12"/>
      <c r="F3" s="13"/>
      <c r="G3" s="12"/>
      <c r="H3" s="11"/>
      <c r="I3" s="12"/>
      <c r="J3" s="97"/>
      <c r="K3" s="14"/>
      <c r="L3" s="14"/>
      <c r="M3" s="14"/>
      <c r="N3" s="14"/>
      <c r="O3" s="15"/>
    </row>
    <row r="4" ht="19.5" spans="1:15">
      <c r="A4" s="16"/>
      <c r="B4" s="17"/>
      <c r="C4" s="17"/>
      <c r="E4" s="17"/>
      <c r="F4" s="18"/>
      <c r="G4" s="17"/>
      <c r="H4" s="17"/>
      <c r="I4" s="17"/>
      <c r="J4" s="98"/>
      <c r="K4" s="15"/>
      <c r="L4" s="15"/>
      <c r="M4" s="15"/>
      <c r="N4" s="15"/>
      <c r="O4" s="15"/>
    </row>
    <row r="5" spans="1:15">
      <c r="B5" s="17"/>
      <c r="C5" s="17"/>
      <c r="D5" s="19"/>
      <c r="E5" s="17"/>
      <c r="F5" s="18"/>
      <c r="G5" s="17"/>
      <c r="H5" s="17"/>
      <c r="I5" s="17"/>
      <c r="J5" s="98"/>
    </row>
    <row r="6" ht="27" spans="1:15">
      <c r="A6" s="20" t="s">
        <v>2</v>
      </c>
      <c r="B6" s="20"/>
      <c r="C6" s="20"/>
      <c r="D6" s="20"/>
      <c r="E6" s="20"/>
      <c r="F6" s="21"/>
      <c r="G6" s="20"/>
      <c r="H6" s="20"/>
      <c r="I6" s="20"/>
      <c r="J6" s="20"/>
      <c r="K6" s="23"/>
    </row>
    <row r="7" ht="27" spans="1:15">
      <c r="A7" s="20"/>
      <c r="B7" s="24"/>
      <c r="C7" s="24"/>
      <c r="D7" s="24"/>
      <c r="E7" s="24"/>
      <c r="F7" s="25"/>
      <c r="G7" s="24"/>
      <c r="H7" s="24"/>
      <c r="I7" s="26"/>
      <c r="J7" s="99"/>
      <c r="K7" s="23"/>
    </row>
    <row r="8" ht="20.25" spans="1:15">
      <c r="A8" s="27"/>
      <c r="B8" s="28"/>
      <c r="C8" s="28"/>
      <c r="D8" s="28"/>
      <c r="E8" s="28"/>
      <c r="F8" s="29"/>
      <c r="G8" s="28"/>
      <c r="H8" s="28"/>
      <c r="I8" s="52"/>
      <c r="J8" s="54"/>
      <c r="K8" s="23"/>
    </row>
    <row r="9" ht="21" spans="1:15">
      <c r="A9" s="30" t="s">
        <v>3</v>
      </c>
      <c r="B9" s="31" t="s">
        <v>4</v>
      </c>
      <c r="C9" s="32"/>
      <c r="D9" s="33"/>
      <c r="E9" s="34"/>
      <c r="F9" s="100" t="s">
        <v>5</v>
      </c>
      <c r="G9" s="101"/>
      <c r="H9" s="36" t="s">
        <v>6</v>
      </c>
      <c r="I9" s="36"/>
      <c r="K9" s="23"/>
    </row>
    <row r="10" ht="21" spans="1:15">
      <c r="A10" s="30"/>
      <c r="B10" s="37" t="s">
        <v>7</v>
      </c>
      <c r="C10" s="37"/>
      <c r="D10" s="33"/>
      <c r="E10" s="34"/>
      <c r="F10" s="100" t="s">
        <v>8</v>
      </c>
      <c r="G10" s="101"/>
      <c r="H10" s="45">
        <v>46289</v>
      </c>
      <c r="I10" s="45"/>
      <c r="K10" s="23"/>
    </row>
    <row r="11" ht="21" spans="1:15">
      <c r="A11" s="30"/>
      <c r="B11" s="40" t="s">
        <v>9</v>
      </c>
      <c r="C11" s="31"/>
      <c r="D11" s="33"/>
      <c r="K11" s="23"/>
    </row>
    <row r="12" ht="20.25" spans="1:15">
      <c r="A12" s="30"/>
      <c r="B12" s="41"/>
      <c r="C12" s="41"/>
      <c r="D12" s="42"/>
      <c r="E12" s="34"/>
      <c r="F12" s="102"/>
      <c r="G12" s="34"/>
      <c r="H12" s="27"/>
      <c r="I12" s="103"/>
      <c r="J12" s="103"/>
      <c r="K12" s="23"/>
    </row>
    <row r="13" ht="27" customHeight="1" spans="1:15">
      <c r="A13" s="34" t="s">
        <v>10</v>
      </c>
      <c r="B13" s="31" t="s">
        <v>11</v>
      </c>
      <c r="C13" s="32"/>
      <c r="D13" s="33"/>
      <c r="I13" s="15"/>
      <c r="J13" s="104"/>
      <c r="K13" s="23"/>
    </row>
    <row r="14" ht="27" customHeight="1" spans="1:15">
      <c r="A14" s="34"/>
      <c r="B14" s="37" t="s">
        <v>7</v>
      </c>
      <c r="C14" s="37"/>
      <c r="D14" s="33"/>
      <c r="I14" s="15"/>
      <c r="J14" s="104"/>
      <c r="K14" s="23"/>
    </row>
    <row r="15" ht="27" customHeight="1" spans="1:15">
      <c r="A15" s="34"/>
      <c r="B15" s="40" t="s">
        <v>9</v>
      </c>
      <c r="C15" s="31"/>
      <c r="D15" s="33"/>
      <c r="E15" s="34"/>
      <c r="F15" s="102"/>
      <c r="G15" s="34"/>
      <c r="H15" s="34"/>
      <c r="I15" s="34"/>
      <c r="J15" s="27"/>
      <c r="K15" s="23"/>
    </row>
    <row r="16" ht="27" customHeight="1" spans="1:15">
      <c r="A16" s="34"/>
      <c r="B16" s="30"/>
      <c r="C16" s="30"/>
      <c r="D16" s="30"/>
      <c r="E16" s="30"/>
      <c r="F16" s="100"/>
      <c r="G16" s="30"/>
      <c r="H16" s="30"/>
      <c r="I16" s="105"/>
      <c r="J16" s="105"/>
      <c r="K16" s="106"/>
    </row>
    <row r="17" ht="20.25" spans="1:17">
      <c r="A17" s="34"/>
      <c r="B17" s="51"/>
      <c r="C17" s="51"/>
      <c r="D17" s="52"/>
      <c r="E17" s="23"/>
      <c r="F17" s="107"/>
      <c r="G17" s="108"/>
      <c r="H17" s="109"/>
      <c r="I17" s="110"/>
      <c r="J17" s="54"/>
      <c r="K17" s="23"/>
    </row>
    <row r="18" ht="21" customHeight="1" spans="1:17">
      <c r="A18" s="55" t="s">
        <v>12</v>
      </c>
      <c r="B18" s="55" t="s">
        <v>13</v>
      </c>
      <c r="C18" s="55" t="s">
        <v>14</v>
      </c>
      <c r="D18" s="56" t="s">
        <v>15</v>
      </c>
      <c r="E18" s="57" t="s">
        <v>16</v>
      </c>
      <c r="F18" s="58" t="s">
        <v>17</v>
      </c>
      <c r="G18" s="56" t="s">
        <v>18</v>
      </c>
      <c r="H18" s="56" t="s">
        <v>19</v>
      </c>
      <c r="I18" s="56" t="s">
        <v>20</v>
      </c>
      <c r="J18" s="28"/>
    </row>
    <row r="19" ht="20.25" spans="1:17">
      <c r="A19" s="55"/>
      <c r="B19" s="55"/>
      <c r="C19" s="55"/>
      <c r="D19" s="56" t="s">
        <v>21</v>
      </c>
      <c r="E19" s="57"/>
      <c r="F19" s="58" t="s">
        <v>22</v>
      </c>
      <c r="G19" s="56" t="s">
        <v>23</v>
      </c>
      <c r="H19" s="56" t="s">
        <v>24</v>
      </c>
      <c r="I19" s="56" t="s">
        <v>25</v>
      </c>
      <c r="J19" s="111"/>
    </row>
    <row r="20" ht="20.25" spans="1:17">
      <c r="A20" s="55"/>
      <c r="B20" s="55"/>
      <c r="C20" s="55"/>
      <c r="D20" s="56"/>
      <c r="E20" s="57"/>
      <c r="F20" s="59"/>
      <c r="G20" s="56"/>
      <c r="H20" s="56" t="s">
        <v>23</v>
      </c>
      <c r="I20" s="56" t="s">
        <v>26</v>
      </c>
      <c r="J20" s="111"/>
    </row>
    <row r="21" s="2" customFormat="1" ht="51" customHeight="1" spans="1:17">
      <c r="A21" s="60" t="s">
        <v>27</v>
      </c>
      <c r="B21" s="61" t="s">
        <v>28</v>
      </c>
      <c r="C21" s="61" t="s">
        <v>29</v>
      </c>
      <c r="D21" s="62">
        <v>88</v>
      </c>
      <c r="E21" s="63">
        <v>0.079625</v>
      </c>
      <c r="F21" s="63">
        <f>E21*I21</f>
        <v>1.75175</v>
      </c>
      <c r="G21" s="64">
        <v>7.4</v>
      </c>
      <c r="H21" s="64">
        <f>D21*G21</f>
        <v>651.2</v>
      </c>
      <c r="I21" s="61">
        <f>D21/4</f>
        <v>22</v>
      </c>
      <c r="J21" s="112"/>
      <c r="K21" s="68"/>
      <c r="L21" s="2"/>
      <c r="M21" s="68"/>
      <c r="N21" s="2"/>
      <c r="O21" s="68"/>
      <c r="P21" s="68"/>
      <c r="Q21" s="68"/>
    </row>
    <row r="22" customFormat="1" ht="50.1" customHeight="1" spans="1:17">
      <c r="A22" s="60" t="s">
        <v>30</v>
      </c>
      <c r="B22" s="61" t="s">
        <v>31</v>
      </c>
      <c r="C22" s="61" t="s">
        <v>29</v>
      </c>
      <c r="D22" s="62">
        <v>176</v>
      </c>
      <c r="E22" s="63">
        <v>0.079625</v>
      </c>
      <c r="F22" s="63">
        <f t="shared" ref="F22:F45" si="0">E22*I22</f>
        <v>3.5035</v>
      </c>
      <c r="G22" s="64">
        <v>7.4</v>
      </c>
      <c r="H22" s="64">
        <f t="shared" ref="H22:H45" si="1">D22*G22</f>
        <v>1302.4</v>
      </c>
      <c r="I22" s="61">
        <f t="shared" ref="I22:I45" si="2">D22/4</f>
        <v>44</v>
      </c>
      <c r="J22" s="112"/>
      <c r="K22" s="68"/>
      <c r="L22" s="2"/>
      <c r="M22" s="3"/>
      <c r="N22" s="2"/>
      <c r="O22" s="68"/>
      <c r="P22" s="3"/>
      <c r="Q22" s="3"/>
    </row>
    <row r="23" s="2" customFormat="1" ht="51" customHeight="1" spans="1:17">
      <c r="A23" s="60" t="s">
        <v>32</v>
      </c>
      <c r="B23" s="61" t="s">
        <v>33</v>
      </c>
      <c r="C23" s="61" t="s">
        <v>29</v>
      </c>
      <c r="D23" s="62">
        <v>36</v>
      </c>
      <c r="E23" s="63">
        <v>0.079625</v>
      </c>
      <c r="F23" s="63">
        <f t="shared" si="0"/>
        <v>0.716625</v>
      </c>
      <c r="G23" s="64">
        <v>7.4</v>
      </c>
      <c r="H23" s="64">
        <f t="shared" si="1"/>
        <v>266.4</v>
      </c>
      <c r="I23" s="61">
        <f t="shared" si="2"/>
        <v>9</v>
      </c>
      <c r="J23" s="112"/>
      <c r="K23" s="68"/>
      <c r="L23" s="2"/>
      <c r="M23" s="68"/>
      <c r="N23" s="2"/>
      <c r="O23" s="68"/>
      <c r="P23" s="68"/>
      <c r="Q23" s="68"/>
    </row>
    <row r="24" s="2" customFormat="1" ht="51" customHeight="1" spans="1:17">
      <c r="A24" s="60" t="s">
        <v>34</v>
      </c>
      <c r="B24" s="61" t="s">
        <v>35</v>
      </c>
      <c r="C24" s="61" t="s">
        <v>29</v>
      </c>
      <c r="D24" s="62">
        <v>176</v>
      </c>
      <c r="E24" s="63">
        <v>0.079625</v>
      </c>
      <c r="F24" s="63">
        <f t="shared" si="0"/>
        <v>3.5035</v>
      </c>
      <c r="G24" s="64">
        <v>7.4</v>
      </c>
      <c r="H24" s="64">
        <f t="shared" si="1"/>
        <v>1302.4</v>
      </c>
      <c r="I24" s="61">
        <f t="shared" si="2"/>
        <v>44</v>
      </c>
      <c r="J24" s="112"/>
      <c r="K24" s="68"/>
      <c r="L24" s="2"/>
      <c r="M24" s="68"/>
      <c r="N24" s="2"/>
      <c r="O24" s="68"/>
      <c r="P24" s="68"/>
      <c r="Q24" s="68"/>
    </row>
    <row r="25" customFormat="1" ht="51" customHeight="1" spans="1:17">
      <c r="A25" s="60" t="s">
        <v>36</v>
      </c>
      <c r="B25" s="61" t="s">
        <v>37</v>
      </c>
      <c r="C25" s="61" t="s">
        <v>29</v>
      </c>
      <c r="D25" s="62">
        <v>32</v>
      </c>
      <c r="E25" s="63">
        <v>0.079625</v>
      </c>
      <c r="F25" s="63">
        <f t="shared" si="0"/>
        <v>0.637</v>
      </c>
      <c r="G25" s="64">
        <v>7.4</v>
      </c>
      <c r="H25" s="64">
        <f t="shared" si="1"/>
        <v>236.8</v>
      </c>
      <c r="I25" s="61">
        <f t="shared" si="2"/>
        <v>8</v>
      </c>
      <c r="J25" s="112"/>
      <c r="K25" s="68"/>
      <c r="L25" s="2"/>
      <c r="M25" s="3"/>
      <c r="N25" s="2"/>
      <c r="O25" s="68"/>
      <c r="P25" s="3"/>
      <c r="Q25" s="3"/>
    </row>
    <row r="26" customFormat="1" ht="51" customHeight="1" spans="1:17">
      <c r="A26" s="60" t="s">
        <v>38</v>
      </c>
      <c r="B26" s="61" t="s">
        <v>39</v>
      </c>
      <c r="C26" s="61" t="s">
        <v>40</v>
      </c>
      <c r="D26" s="62">
        <v>120</v>
      </c>
      <c r="E26" s="63">
        <v>0.120185</v>
      </c>
      <c r="F26" s="63">
        <f t="shared" si="0"/>
        <v>3.60555</v>
      </c>
      <c r="G26" s="64">
        <v>9</v>
      </c>
      <c r="H26" s="64">
        <f t="shared" si="1"/>
        <v>1080</v>
      </c>
      <c r="I26" s="61">
        <f t="shared" si="2"/>
        <v>30</v>
      </c>
      <c r="J26" s="112"/>
      <c r="K26" s="68"/>
      <c r="L26" s="2"/>
      <c r="M26" s="3"/>
      <c r="N26" s="2"/>
      <c r="O26" s="68"/>
      <c r="P26" s="3"/>
      <c r="Q26" s="3"/>
    </row>
    <row r="27" customFormat="1" ht="51" customHeight="1" spans="1:17">
      <c r="A27" s="60" t="s">
        <v>41</v>
      </c>
      <c r="B27" s="61" t="s">
        <v>42</v>
      </c>
      <c r="C27" s="61" t="s">
        <v>40</v>
      </c>
      <c r="D27" s="62">
        <v>144</v>
      </c>
      <c r="E27" s="63">
        <v>0.120185</v>
      </c>
      <c r="F27" s="63">
        <f t="shared" si="0"/>
        <v>4.32666</v>
      </c>
      <c r="G27" s="64">
        <v>9</v>
      </c>
      <c r="H27" s="64">
        <f t="shared" si="1"/>
        <v>1296</v>
      </c>
      <c r="I27" s="61">
        <f t="shared" si="2"/>
        <v>36</v>
      </c>
      <c r="J27" s="112"/>
      <c r="K27" s="68"/>
      <c r="L27" s="2"/>
      <c r="M27" s="3"/>
      <c r="N27" s="2"/>
      <c r="O27" s="68"/>
      <c r="P27" s="3"/>
      <c r="Q27" s="3"/>
    </row>
    <row r="28" customFormat="1" ht="51" customHeight="1" spans="1:17">
      <c r="A28" s="60" t="s">
        <v>43</v>
      </c>
      <c r="B28" s="61" t="s">
        <v>44</v>
      </c>
      <c r="C28" s="61" t="s">
        <v>40</v>
      </c>
      <c r="D28" s="62">
        <v>72</v>
      </c>
      <c r="E28" s="63">
        <v>0.120185</v>
      </c>
      <c r="F28" s="63">
        <f t="shared" si="0"/>
        <v>2.16333</v>
      </c>
      <c r="G28" s="64">
        <v>9</v>
      </c>
      <c r="H28" s="64">
        <f t="shared" si="1"/>
        <v>648</v>
      </c>
      <c r="I28" s="61">
        <f t="shared" si="2"/>
        <v>18</v>
      </c>
      <c r="J28" s="112"/>
      <c r="K28" s="68"/>
      <c r="L28" s="2"/>
      <c r="M28" s="3"/>
      <c r="N28" s="2"/>
      <c r="O28" s="68"/>
      <c r="P28" s="3"/>
      <c r="Q28" s="3"/>
    </row>
    <row r="29" customFormat="1" ht="51" customHeight="1" spans="1:17">
      <c r="A29" s="60" t="s">
        <v>45</v>
      </c>
      <c r="B29" s="61" t="s">
        <v>46</v>
      </c>
      <c r="C29" s="61" t="s">
        <v>40</v>
      </c>
      <c r="D29" s="62">
        <v>44</v>
      </c>
      <c r="E29" s="63">
        <v>0.120185</v>
      </c>
      <c r="F29" s="63">
        <f t="shared" si="0"/>
        <v>1.322035</v>
      </c>
      <c r="G29" s="64">
        <v>9</v>
      </c>
      <c r="H29" s="64">
        <f t="shared" si="1"/>
        <v>396</v>
      </c>
      <c r="I29" s="61">
        <f t="shared" si="2"/>
        <v>11</v>
      </c>
      <c r="J29" s="112"/>
      <c r="K29" s="68"/>
      <c r="L29" s="2"/>
      <c r="M29" s="3"/>
      <c r="N29" s="2"/>
      <c r="O29" s="68"/>
      <c r="P29" s="3"/>
      <c r="Q29" s="3"/>
    </row>
    <row r="30" customFormat="1" ht="51" customHeight="1" spans="1:17">
      <c r="A30" s="60" t="s">
        <v>47</v>
      </c>
      <c r="B30" s="61" t="s">
        <v>48</v>
      </c>
      <c r="C30" s="61" t="s">
        <v>40</v>
      </c>
      <c r="D30" s="62">
        <v>88</v>
      </c>
      <c r="E30" s="63">
        <v>0.120185</v>
      </c>
      <c r="F30" s="63">
        <f t="shared" si="0"/>
        <v>2.64407</v>
      </c>
      <c r="G30" s="64">
        <v>9</v>
      </c>
      <c r="H30" s="64">
        <f t="shared" si="1"/>
        <v>792</v>
      </c>
      <c r="I30" s="61">
        <f t="shared" si="2"/>
        <v>22</v>
      </c>
      <c r="J30" s="112"/>
      <c r="K30" s="68"/>
      <c r="L30" s="2"/>
      <c r="M30" s="3"/>
      <c r="N30" s="2"/>
      <c r="O30" s="68"/>
      <c r="P30" s="3"/>
      <c r="Q30" s="3"/>
    </row>
    <row r="31" customFormat="1" ht="51" customHeight="1" spans="1:17">
      <c r="A31" s="60" t="s">
        <v>49</v>
      </c>
      <c r="B31" s="61" t="s">
        <v>50</v>
      </c>
      <c r="C31" s="61" t="s">
        <v>40</v>
      </c>
      <c r="D31" s="62">
        <v>328</v>
      </c>
      <c r="E31" s="63">
        <v>0.120185</v>
      </c>
      <c r="F31" s="63">
        <f t="shared" si="0"/>
        <v>9.85517</v>
      </c>
      <c r="G31" s="64">
        <v>7.8</v>
      </c>
      <c r="H31" s="64">
        <f t="shared" si="1"/>
        <v>2558.4</v>
      </c>
      <c r="I31" s="61">
        <f t="shared" si="2"/>
        <v>82</v>
      </c>
      <c r="J31" s="112"/>
      <c r="K31" s="68"/>
      <c r="L31" s="2"/>
      <c r="M31" s="3"/>
      <c r="N31" s="2"/>
      <c r="O31" s="68"/>
      <c r="P31" s="3"/>
      <c r="Q31" s="3"/>
    </row>
    <row r="32" customFormat="1" ht="51" customHeight="1" spans="1:17">
      <c r="A32" s="60" t="s">
        <v>51</v>
      </c>
      <c r="B32" s="61" t="s">
        <v>52</v>
      </c>
      <c r="C32" s="61" t="s">
        <v>40</v>
      </c>
      <c r="D32" s="62">
        <v>176</v>
      </c>
      <c r="E32" s="63">
        <v>0.120185</v>
      </c>
      <c r="F32" s="63">
        <f t="shared" si="0"/>
        <v>5.28814</v>
      </c>
      <c r="G32" s="64">
        <v>7.8</v>
      </c>
      <c r="H32" s="64">
        <f t="shared" si="1"/>
        <v>1372.8</v>
      </c>
      <c r="I32" s="61">
        <f t="shared" si="2"/>
        <v>44</v>
      </c>
      <c r="J32" s="112"/>
      <c r="K32" s="68"/>
      <c r="L32" s="2"/>
      <c r="M32" s="3"/>
      <c r="N32" s="2"/>
      <c r="O32" s="68"/>
      <c r="P32" s="3"/>
      <c r="Q32" s="3"/>
    </row>
    <row r="33" customFormat="1" ht="51" customHeight="1" spans="1:17">
      <c r="A33" s="60" t="s">
        <v>53</v>
      </c>
      <c r="B33" s="61" t="s">
        <v>54</v>
      </c>
      <c r="C33" s="61" t="s">
        <v>40</v>
      </c>
      <c r="D33" s="62">
        <v>148</v>
      </c>
      <c r="E33" s="63">
        <v>0.120185</v>
      </c>
      <c r="F33" s="63">
        <f t="shared" si="0"/>
        <v>4.446845</v>
      </c>
      <c r="G33" s="64">
        <v>7.8</v>
      </c>
      <c r="H33" s="64">
        <f t="shared" si="1"/>
        <v>1154.4</v>
      </c>
      <c r="I33" s="61">
        <f t="shared" si="2"/>
        <v>37</v>
      </c>
      <c r="J33" s="112"/>
      <c r="K33" s="68"/>
      <c r="L33" s="2"/>
      <c r="M33" s="3"/>
      <c r="N33" s="2"/>
      <c r="O33" s="68"/>
      <c r="P33" s="3"/>
      <c r="Q33" s="3"/>
    </row>
    <row r="34" customFormat="1" ht="51" customHeight="1" spans="1:17">
      <c r="A34" s="60" t="s">
        <v>55</v>
      </c>
      <c r="B34" s="61" t="s">
        <v>56</v>
      </c>
      <c r="C34" s="61" t="s">
        <v>40</v>
      </c>
      <c r="D34" s="62">
        <v>144</v>
      </c>
      <c r="E34" s="63">
        <v>0.120185</v>
      </c>
      <c r="F34" s="63">
        <f t="shared" si="0"/>
        <v>4.32666</v>
      </c>
      <c r="G34" s="64">
        <v>7.8</v>
      </c>
      <c r="H34" s="64">
        <f t="shared" si="1"/>
        <v>1123.2</v>
      </c>
      <c r="I34" s="61">
        <f t="shared" si="2"/>
        <v>36</v>
      </c>
      <c r="J34" s="112"/>
      <c r="K34" s="68"/>
      <c r="L34" s="2"/>
      <c r="M34" s="3"/>
      <c r="N34" s="2"/>
      <c r="O34" s="68"/>
      <c r="P34" s="3"/>
      <c r="Q34" s="3"/>
    </row>
    <row r="35" customFormat="1" ht="51" customHeight="1" spans="1:17">
      <c r="A35" s="60" t="s">
        <v>57</v>
      </c>
      <c r="B35" s="61" t="s">
        <v>58</v>
      </c>
      <c r="C35" s="61" t="s">
        <v>40</v>
      </c>
      <c r="D35" s="62">
        <v>208</v>
      </c>
      <c r="E35" s="63">
        <v>0.120185</v>
      </c>
      <c r="F35" s="63">
        <f t="shared" si="0"/>
        <v>6.24962</v>
      </c>
      <c r="G35" s="64">
        <v>7.8</v>
      </c>
      <c r="H35" s="64">
        <f t="shared" si="1"/>
        <v>1622.4</v>
      </c>
      <c r="I35" s="61">
        <f t="shared" si="2"/>
        <v>52</v>
      </c>
      <c r="J35" s="112"/>
      <c r="K35" s="68"/>
      <c r="L35" s="2"/>
      <c r="M35" s="3"/>
      <c r="N35" s="2"/>
      <c r="O35" s="68"/>
      <c r="P35" s="3"/>
      <c r="Q35" s="3"/>
    </row>
    <row r="36" customFormat="1" ht="51" customHeight="1" spans="1:17">
      <c r="A36" s="60" t="s">
        <v>59</v>
      </c>
      <c r="B36" s="61" t="s">
        <v>60</v>
      </c>
      <c r="C36" s="61" t="s">
        <v>29</v>
      </c>
      <c r="D36" s="62">
        <v>36</v>
      </c>
      <c r="E36" s="63">
        <v>0.079625</v>
      </c>
      <c r="F36" s="63">
        <f t="shared" si="0"/>
        <v>0.716625</v>
      </c>
      <c r="G36" s="64">
        <v>6.25</v>
      </c>
      <c r="H36" s="64">
        <f t="shared" si="1"/>
        <v>225</v>
      </c>
      <c r="I36" s="61">
        <f t="shared" si="2"/>
        <v>9</v>
      </c>
      <c r="J36" s="112"/>
      <c r="K36" s="68"/>
      <c r="L36" s="2"/>
      <c r="M36" s="3"/>
      <c r="N36" s="2"/>
      <c r="O36" s="68"/>
      <c r="P36" s="3"/>
      <c r="Q36" s="3"/>
    </row>
    <row r="37" customFormat="1" ht="51" customHeight="1" spans="1:17">
      <c r="A37" s="60" t="s">
        <v>61</v>
      </c>
      <c r="B37" s="61" t="s">
        <v>62</v>
      </c>
      <c r="C37" s="61" t="s">
        <v>29</v>
      </c>
      <c r="D37" s="62">
        <v>60</v>
      </c>
      <c r="E37" s="63">
        <v>0.079625</v>
      </c>
      <c r="F37" s="63">
        <f t="shared" si="0"/>
        <v>1.194375</v>
      </c>
      <c r="G37" s="64">
        <v>6.25</v>
      </c>
      <c r="H37" s="64">
        <f t="shared" si="1"/>
        <v>375</v>
      </c>
      <c r="I37" s="61">
        <f t="shared" si="2"/>
        <v>15</v>
      </c>
      <c r="J37" s="112"/>
      <c r="K37" s="68"/>
      <c r="L37" s="2"/>
      <c r="M37" s="3"/>
      <c r="N37" s="2"/>
      <c r="O37" s="68"/>
      <c r="P37" s="3"/>
      <c r="Q37" s="3"/>
    </row>
    <row r="38" customFormat="1" ht="51" customHeight="1" spans="1:17">
      <c r="A38" s="60" t="s">
        <v>63</v>
      </c>
      <c r="B38" s="61" t="s">
        <v>64</v>
      </c>
      <c r="C38" s="61" t="s">
        <v>29</v>
      </c>
      <c r="D38" s="62">
        <v>56</v>
      </c>
      <c r="E38" s="63">
        <v>0.079625</v>
      </c>
      <c r="F38" s="63">
        <f t="shared" si="0"/>
        <v>1.11475</v>
      </c>
      <c r="G38" s="64">
        <v>6.25</v>
      </c>
      <c r="H38" s="64">
        <f t="shared" si="1"/>
        <v>350</v>
      </c>
      <c r="I38" s="61">
        <f t="shared" si="2"/>
        <v>14</v>
      </c>
      <c r="J38" s="112"/>
      <c r="K38" s="68"/>
      <c r="L38" s="2"/>
      <c r="M38" s="3"/>
      <c r="N38" s="2"/>
      <c r="O38" s="68"/>
      <c r="P38" s="3"/>
      <c r="Q38" s="3"/>
    </row>
    <row r="39" customFormat="1" ht="51" customHeight="1" spans="1:17">
      <c r="A39" s="60" t="s">
        <v>65</v>
      </c>
      <c r="B39" s="61" t="s">
        <v>66</v>
      </c>
      <c r="C39" s="61" t="s">
        <v>29</v>
      </c>
      <c r="D39" s="62">
        <v>40</v>
      </c>
      <c r="E39" s="63">
        <v>0.079625</v>
      </c>
      <c r="F39" s="63">
        <f t="shared" si="0"/>
        <v>0.79625</v>
      </c>
      <c r="G39" s="64">
        <v>6.25</v>
      </c>
      <c r="H39" s="64">
        <f t="shared" si="1"/>
        <v>250</v>
      </c>
      <c r="I39" s="61">
        <f t="shared" si="2"/>
        <v>10</v>
      </c>
      <c r="J39" s="112"/>
      <c r="K39" s="68"/>
      <c r="L39" s="2"/>
      <c r="M39" s="3"/>
      <c r="N39" s="2"/>
      <c r="O39" s="68"/>
      <c r="P39" s="3"/>
      <c r="Q39" s="3"/>
    </row>
    <row r="40" customFormat="1" ht="51" customHeight="1" spans="1:17">
      <c r="A40" s="60" t="s">
        <v>67</v>
      </c>
      <c r="B40" s="61" t="s">
        <v>68</v>
      </c>
      <c r="C40" s="61" t="s">
        <v>29</v>
      </c>
      <c r="D40" s="62">
        <v>36</v>
      </c>
      <c r="E40" s="63">
        <v>0.079625</v>
      </c>
      <c r="F40" s="63">
        <f t="shared" si="0"/>
        <v>0.716625</v>
      </c>
      <c r="G40" s="64">
        <v>7.9</v>
      </c>
      <c r="H40" s="64">
        <f t="shared" si="1"/>
        <v>284.4</v>
      </c>
      <c r="I40" s="61">
        <f t="shared" si="2"/>
        <v>9</v>
      </c>
      <c r="J40" s="112"/>
      <c r="K40" s="68"/>
      <c r="L40" s="2"/>
      <c r="M40" s="3"/>
      <c r="N40" s="2"/>
      <c r="O40" s="68"/>
      <c r="P40" s="3"/>
      <c r="Q40" s="3"/>
    </row>
    <row r="41" customFormat="1" ht="51" customHeight="1" spans="1:17">
      <c r="A41" s="60" t="s">
        <v>69</v>
      </c>
      <c r="B41" s="61" t="s">
        <v>70</v>
      </c>
      <c r="C41" s="61" t="s">
        <v>29</v>
      </c>
      <c r="D41" s="62">
        <v>60</v>
      </c>
      <c r="E41" s="63">
        <v>0.079625</v>
      </c>
      <c r="F41" s="63">
        <f t="shared" si="0"/>
        <v>1.194375</v>
      </c>
      <c r="G41" s="64">
        <v>7.9</v>
      </c>
      <c r="H41" s="64">
        <f t="shared" si="1"/>
        <v>474</v>
      </c>
      <c r="I41" s="61">
        <f t="shared" si="2"/>
        <v>15</v>
      </c>
      <c r="J41" s="112"/>
      <c r="K41" s="68"/>
      <c r="L41" s="2"/>
      <c r="M41" s="3"/>
      <c r="N41" s="2"/>
      <c r="O41" s="68"/>
      <c r="P41" s="3"/>
      <c r="Q41" s="3"/>
    </row>
    <row r="42" customFormat="1" ht="51" customHeight="1" spans="1:17">
      <c r="A42" s="60" t="s">
        <v>71</v>
      </c>
      <c r="B42" s="61" t="s">
        <v>72</v>
      </c>
      <c r="C42" s="61" t="s">
        <v>40</v>
      </c>
      <c r="D42" s="62">
        <v>36</v>
      </c>
      <c r="E42" s="63">
        <v>0.120185</v>
      </c>
      <c r="F42" s="63">
        <f t="shared" si="0"/>
        <v>1.081665</v>
      </c>
      <c r="G42" s="64">
        <v>8.3</v>
      </c>
      <c r="H42" s="64">
        <f t="shared" si="1"/>
        <v>298.8</v>
      </c>
      <c r="I42" s="61">
        <f t="shared" si="2"/>
        <v>9</v>
      </c>
      <c r="J42" s="112"/>
      <c r="K42" s="68"/>
      <c r="L42" s="2"/>
      <c r="M42" s="3"/>
      <c r="N42" s="2"/>
      <c r="O42" s="68"/>
      <c r="P42" s="3"/>
      <c r="Q42" s="3"/>
    </row>
    <row r="43" customFormat="1" ht="51" customHeight="1" spans="1:17">
      <c r="A43" s="60" t="s">
        <v>73</v>
      </c>
      <c r="B43" s="61" t="s">
        <v>74</v>
      </c>
      <c r="C43" s="61" t="s">
        <v>40</v>
      </c>
      <c r="D43" s="62">
        <v>24</v>
      </c>
      <c r="E43" s="63">
        <v>0.120185</v>
      </c>
      <c r="F43" s="63">
        <f t="shared" si="0"/>
        <v>0.72111</v>
      </c>
      <c r="G43" s="64">
        <v>8.3</v>
      </c>
      <c r="H43" s="64">
        <f t="shared" si="1"/>
        <v>199.2</v>
      </c>
      <c r="I43" s="61">
        <f t="shared" si="2"/>
        <v>6</v>
      </c>
      <c r="J43" s="112"/>
      <c r="K43" s="68"/>
      <c r="L43" s="2"/>
      <c r="M43" s="3"/>
      <c r="N43" s="2"/>
      <c r="O43" s="68"/>
      <c r="P43" s="3"/>
      <c r="Q43" s="3"/>
    </row>
    <row r="44" customFormat="1" ht="51" customHeight="1" spans="1:17">
      <c r="A44" s="60" t="s">
        <v>75</v>
      </c>
      <c r="B44" s="61" t="s">
        <v>76</v>
      </c>
      <c r="C44" s="61" t="s">
        <v>29</v>
      </c>
      <c r="D44" s="62">
        <v>60</v>
      </c>
      <c r="E44" s="63">
        <v>0.079625</v>
      </c>
      <c r="F44" s="63">
        <f t="shared" si="0"/>
        <v>1.194375</v>
      </c>
      <c r="G44" s="64">
        <v>6.75</v>
      </c>
      <c r="H44" s="64">
        <f t="shared" si="1"/>
        <v>405</v>
      </c>
      <c r="I44" s="61">
        <f t="shared" si="2"/>
        <v>15</v>
      </c>
      <c r="J44" s="112"/>
      <c r="K44" s="68"/>
      <c r="L44" s="2"/>
      <c r="M44" s="3"/>
      <c r="N44" s="2"/>
      <c r="O44" s="68"/>
      <c r="P44" s="3"/>
      <c r="Q44" s="3"/>
    </row>
    <row r="45" customFormat="1" ht="50.1" customHeight="1" spans="1:17">
      <c r="A45" s="60" t="s">
        <v>77</v>
      </c>
      <c r="B45" s="61" t="s">
        <v>78</v>
      </c>
      <c r="C45" s="61" t="s">
        <v>79</v>
      </c>
      <c r="D45" s="62">
        <v>120</v>
      </c>
      <c r="E45" s="63">
        <f>53*37*45.5/1000000</f>
        <v>0.0892255</v>
      </c>
      <c r="F45" s="63">
        <f t="shared" si="0"/>
        <v>1.78451</v>
      </c>
      <c r="G45" s="64">
        <v>3.155</v>
      </c>
      <c r="H45" s="64">
        <f t="shared" si="1"/>
        <v>378.6</v>
      </c>
      <c r="I45" s="61">
        <f>D45/6</f>
        <v>20</v>
      </c>
      <c r="J45" s="69" t="s">
        <v>80</v>
      </c>
      <c r="K45" s="68"/>
      <c r="L45" s="3"/>
      <c r="M45" s="3"/>
      <c r="N45" s="2"/>
      <c r="O45" s="68"/>
      <c r="P45" s="3"/>
      <c r="Q45" s="3"/>
    </row>
    <row r="46" ht="50.1" customHeight="1" spans="1:17">
      <c r="A46" s="113"/>
      <c r="B46" s="114"/>
      <c r="C46" s="115" t="s">
        <v>17</v>
      </c>
      <c r="D46" s="116">
        <f>SUM(D21:D45)</f>
        <v>2508</v>
      </c>
      <c r="E46" s="117"/>
      <c r="F46" s="118">
        <f>SUM(F21:F45)</f>
        <v>64.855115</v>
      </c>
      <c r="G46" s="76"/>
      <c r="H46" s="118">
        <f>SUM(H21:H45)</f>
        <v>19042.4</v>
      </c>
      <c r="I46" s="119">
        <f>SUM(I21:I45)</f>
        <v>617</v>
      </c>
      <c r="J46" s="120"/>
    </row>
    <row r="47" s="3" customFormat="1" ht="58" customHeight="1" spans="1:17">
      <c r="A47" s="79" t="s">
        <v>81</v>
      </c>
      <c r="B47" s="114"/>
      <c r="C47" s="80"/>
      <c r="D47" s="81"/>
      <c r="E47" s="82"/>
      <c r="F47" s="83"/>
      <c r="G47" s="82"/>
      <c r="H47" s="84"/>
      <c r="I47" s="84"/>
      <c r="J47" s="85"/>
      <c r="K47" s="121"/>
      <c r="L47" s="86"/>
      <c r="M47" s="87"/>
      <c r="N47" s="23"/>
      <c r="O47" s="23"/>
      <c r="P47" s="23"/>
    </row>
    <row r="48" ht="47" customHeight="1" spans="1:17">
      <c r="A48" s="79"/>
      <c r="B48" s="34"/>
      <c r="C48" s="91"/>
    </row>
    <row r="49" ht="25" customHeight="1" spans="1:2">
      <c r="A49" s="95" t="s">
        <v>82</v>
      </c>
      <c r="B49" s="14"/>
    </row>
    <row r="50" ht="25" customHeight="1" spans="1:2">
      <c r="A50" s="95" t="s">
        <v>83</v>
      </c>
      <c r="B50" s="14"/>
    </row>
    <row r="51" ht="25" customHeight="1" spans="1:2">
      <c r="A51" s="95" t="s">
        <v>84</v>
      </c>
      <c r="B51" s="14"/>
    </row>
    <row r="52" ht="25" customHeight="1" spans="1:2">
      <c r="A52" s="95" t="s">
        <v>85</v>
      </c>
      <c r="B52" s="14"/>
    </row>
    <row r="53" ht="15.75" spans="1:2">
      <c r="A53" s="95" t="s">
        <v>86</v>
      </c>
    </row>
    <row r="54" ht="15.75" spans="1:2">
      <c r="A54" s="95" t="s">
        <v>87</v>
      </c>
    </row>
  </sheetData>
  <sheetProtection formatCells="0" insertHyperlinks="0" autoFilter="0"/>
  <mergeCells count="20">
    <mergeCell ref="A1:I1"/>
    <mergeCell ref="A2:I2"/>
    <mergeCell ref="A6:I6"/>
    <mergeCell ref="B8:D8"/>
    <mergeCell ref="G8:J8"/>
    <mergeCell ref="B9:C9"/>
    <mergeCell ref="F9:G9"/>
    <mergeCell ref="H9:I9"/>
    <mergeCell ref="F10:G10"/>
    <mergeCell ref="H10:I10"/>
    <mergeCell ref="B11:C11"/>
    <mergeCell ref="B12:C12"/>
    <mergeCell ref="I12:J12"/>
    <mergeCell ref="B13:C13"/>
    <mergeCell ref="B15:C15"/>
    <mergeCell ref="B17:D17"/>
    <mergeCell ref="A18:A20"/>
    <mergeCell ref="B18:B20"/>
    <mergeCell ref="C18:C20"/>
    <mergeCell ref="E18:E20"/>
  </mergeCells>
  <pageMargins left="0.314583333333333" right="0.590277777777778" top="0.747916666666667" bottom="0.747916666666667" header="0.313888888888889" footer="0.313888888888889"/>
  <pageSetup paperSize="1" scale="5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4"/>
  <sheetViews>
    <sheetView zoomScale="60" zoomScaleNormal="60" workbookViewId="0">
      <selection activeCell="B10" sqref="B10"/>
    </sheetView>
  </sheetViews>
  <sheetFormatPr defaultColWidth="9" defaultRowHeight="14.25"/>
  <cols>
    <col min="1" max="1" width="25.2833333333333" style="3" customWidth="1"/>
    <col min="2" max="2" width="25.5916666666667" style="3" customWidth="1"/>
    <col min="3" max="3" width="22.4916666666667" style="3" customWidth="1"/>
    <col min="4" max="4" width="16" style="3" customWidth="1"/>
    <col min="5" max="5" width="12.5" style="3" customWidth="1"/>
    <col min="6" max="6" width="12.5" style="4" customWidth="1"/>
    <col min="7" max="7" width="11.375" style="3" customWidth="1"/>
    <col min="8" max="8" width="12.875" style="3" customWidth="1"/>
    <col min="9" max="9" width="13.0333333333333" style="3" customWidth="1"/>
    <col min="10" max="10" width="12.875" style="3" customWidth="1"/>
    <col min="11" max="11" width="27.5" style="3" customWidth="1"/>
    <col min="12" max="12" width="15.425" style="3" customWidth="1"/>
    <col min="13" max="13" width="16.2" style="3" customWidth="1"/>
    <col min="14" max="14" width="9.375" style="3"/>
    <col min="15" max="15" width="9" style="3"/>
    <col min="16" max="16" width="18.525" style="3" customWidth="1"/>
    <col min="17" max="17" width="9.375" style="3"/>
    <col min="18" max="18" width="12.625" style="3"/>
    <col min="19" max="19" width="11.5" style="3"/>
    <col min="20" max="256" width="9" style="3"/>
    <col min="257" max="257" width="14.75" style="3" customWidth="1"/>
    <col min="258" max="258" width="26" style="3" customWidth="1"/>
    <col min="259" max="259" width="15.125" style="3" customWidth="1"/>
    <col min="260" max="260" width="15.375" style="3" customWidth="1"/>
    <col min="261" max="261" width="12.375" style="3" customWidth="1"/>
    <col min="262" max="262" width="10.875" style="3" customWidth="1"/>
    <col min="263" max="263" width="11.375" style="3" customWidth="1"/>
    <col min="264" max="264" width="10.75" style="3" customWidth="1"/>
    <col min="265" max="265" width="9.25" style="3" customWidth="1"/>
    <col min="266" max="266" width="13.5" style="3" customWidth="1"/>
    <col min="267" max="267" width="5.375" style="3" customWidth="1"/>
    <col min="268" max="512" width="9" style="3"/>
    <col min="513" max="513" width="14.75" style="3" customWidth="1"/>
    <col min="514" max="514" width="26" style="3" customWidth="1"/>
    <col min="515" max="515" width="15.125" style="3" customWidth="1"/>
    <col min="516" max="516" width="15.375" style="3" customWidth="1"/>
    <col min="517" max="517" width="12.375" style="3" customWidth="1"/>
    <col min="518" max="518" width="10.875" style="3" customWidth="1"/>
    <col min="519" max="519" width="11.375" style="3" customWidth="1"/>
    <col min="520" max="520" width="10.75" style="3" customWidth="1"/>
    <col min="521" max="521" width="9.25" style="3" customWidth="1"/>
    <col min="522" max="522" width="13.5" style="3" customWidth="1"/>
    <col min="523" max="523" width="5.375" style="3" customWidth="1"/>
    <col min="524" max="768" width="9" style="3"/>
    <col min="769" max="769" width="14.75" style="3" customWidth="1"/>
    <col min="770" max="770" width="26" style="3" customWidth="1"/>
    <col min="771" max="771" width="15.125" style="3" customWidth="1"/>
    <col min="772" max="772" width="15.375" style="3" customWidth="1"/>
    <col min="773" max="773" width="12.375" style="3" customWidth="1"/>
    <col min="774" max="774" width="10.875" style="3" customWidth="1"/>
    <col min="775" max="775" width="11.375" style="3" customWidth="1"/>
    <col min="776" max="776" width="10.75" style="3" customWidth="1"/>
    <col min="777" max="777" width="9.25" style="3" customWidth="1"/>
    <col min="778" max="778" width="13.5" style="3" customWidth="1"/>
    <col min="779" max="779" width="5.375" style="3" customWidth="1"/>
    <col min="780" max="1024" width="9" style="3"/>
    <col min="1025" max="1025" width="14.75" style="3" customWidth="1"/>
    <col min="1026" max="1026" width="26" style="3" customWidth="1"/>
    <col min="1027" max="1027" width="15.125" style="3" customWidth="1"/>
    <col min="1028" max="1028" width="15.375" style="3" customWidth="1"/>
    <col min="1029" max="1029" width="12.375" style="3" customWidth="1"/>
    <col min="1030" max="1030" width="10.875" style="3" customWidth="1"/>
    <col min="1031" max="1031" width="11.375" style="3" customWidth="1"/>
    <col min="1032" max="1032" width="10.75" style="3" customWidth="1"/>
    <col min="1033" max="1033" width="9.25" style="3" customWidth="1"/>
    <col min="1034" max="1034" width="13.5" style="3" customWidth="1"/>
    <col min="1035" max="1035" width="5.375" style="3" customWidth="1"/>
    <col min="1036" max="1280" width="9" style="3"/>
    <col min="1281" max="1281" width="14.75" style="3" customWidth="1"/>
    <col min="1282" max="1282" width="26" style="3" customWidth="1"/>
    <col min="1283" max="1283" width="15.125" style="3" customWidth="1"/>
    <col min="1284" max="1284" width="15.375" style="3" customWidth="1"/>
    <col min="1285" max="1285" width="12.375" style="3" customWidth="1"/>
    <col min="1286" max="1286" width="10.875" style="3" customWidth="1"/>
    <col min="1287" max="1287" width="11.375" style="3" customWidth="1"/>
    <col min="1288" max="1288" width="10.75" style="3" customWidth="1"/>
    <col min="1289" max="1289" width="9.25" style="3" customWidth="1"/>
    <col min="1290" max="1290" width="13.5" style="3" customWidth="1"/>
    <col min="1291" max="1291" width="5.375" style="3" customWidth="1"/>
    <col min="1292" max="1536" width="9" style="3"/>
    <col min="1537" max="1537" width="14.75" style="3" customWidth="1"/>
    <col min="1538" max="1538" width="26" style="3" customWidth="1"/>
    <col min="1539" max="1539" width="15.125" style="3" customWidth="1"/>
    <col min="1540" max="1540" width="15.375" style="3" customWidth="1"/>
    <col min="1541" max="1541" width="12.375" style="3" customWidth="1"/>
    <col min="1542" max="1542" width="10.875" style="3" customWidth="1"/>
    <col min="1543" max="1543" width="11.375" style="3" customWidth="1"/>
    <col min="1544" max="1544" width="10.75" style="3" customWidth="1"/>
    <col min="1545" max="1545" width="9.25" style="3" customWidth="1"/>
    <col min="1546" max="1546" width="13.5" style="3" customWidth="1"/>
    <col min="1547" max="1547" width="5.375" style="3" customWidth="1"/>
    <col min="1548" max="1792" width="9" style="3"/>
    <col min="1793" max="1793" width="14.75" style="3" customWidth="1"/>
    <col min="1794" max="1794" width="26" style="3" customWidth="1"/>
    <col min="1795" max="1795" width="15.125" style="3" customWidth="1"/>
    <col min="1796" max="1796" width="15.375" style="3" customWidth="1"/>
    <col min="1797" max="1797" width="12.375" style="3" customWidth="1"/>
    <col min="1798" max="1798" width="10.875" style="3" customWidth="1"/>
    <col min="1799" max="1799" width="11.375" style="3" customWidth="1"/>
    <col min="1800" max="1800" width="10.75" style="3" customWidth="1"/>
    <col min="1801" max="1801" width="9.25" style="3" customWidth="1"/>
    <col min="1802" max="1802" width="13.5" style="3" customWidth="1"/>
    <col min="1803" max="1803" width="5.375" style="3" customWidth="1"/>
    <col min="1804" max="2048" width="9" style="3"/>
    <col min="2049" max="2049" width="14.75" style="3" customWidth="1"/>
    <col min="2050" max="2050" width="26" style="3" customWidth="1"/>
    <col min="2051" max="2051" width="15.125" style="3" customWidth="1"/>
    <col min="2052" max="2052" width="15.375" style="3" customWidth="1"/>
    <col min="2053" max="2053" width="12.375" style="3" customWidth="1"/>
    <col min="2054" max="2054" width="10.875" style="3" customWidth="1"/>
    <col min="2055" max="2055" width="11.375" style="3" customWidth="1"/>
    <col min="2056" max="2056" width="10.75" style="3" customWidth="1"/>
    <col min="2057" max="2057" width="9.25" style="3" customWidth="1"/>
    <col min="2058" max="2058" width="13.5" style="3" customWidth="1"/>
    <col min="2059" max="2059" width="5.375" style="3" customWidth="1"/>
    <col min="2060" max="2304" width="9" style="3"/>
    <col min="2305" max="2305" width="14.75" style="3" customWidth="1"/>
    <col min="2306" max="2306" width="26" style="3" customWidth="1"/>
    <col min="2307" max="2307" width="15.125" style="3" customWidth="1"/>
    <col min="2308" max="2308" width="15.375" style="3" customWidth="1"/>
    <col min="2309" max="2309" width="12.375" style="3" customWidth="1"/>
    <col min="2310" max="2310" width="10.875" style="3" customWidth="1"/>
    <col min="2311" max="2311" width="11.375" style="3" customWidth="1"/>
    <col min="2312" max="2312" width="10.75" style="3" customWidth="1"/>
    <col min="2313" max="2313" width="9.25" style="3" customWidth="1"/>
    <col min="2314" max="2314" width="13.5" style="3" customWidth="1"/>
    <col min="2315" max="2315" width="5.375" style="3" customWidth="1"/>
    <col min="2316" max="2560" width="9" style="3"/>
    <col min="2561" max="2561" width="14.75" style="3" customWidth="1"/>
    <col min="2562" max="2562" width="26" style="3" customWidth="1"/>
    <col min="2563" max="2563" width="15.125" style="3" customWidth="1"/>
    <col min="2564" max="2564" width="15.375" style="3" customWidth="1"/>
    <col min="2565" max="2565" width="12.375" style="3" customWidth="1"/>
    <col min="2566" max="2566" width="10.875" style="3" customWidth="1"/>
    <col min="2567" max="2567" width="11.375" style="3" customWidth="1"/>
    <col min="2568" max="2568" width="10.75" style="3" customWidth="1"/>
    <col min="2569" max="2569" width="9.25" style="3" customWidth="1"/>
    <col min="2570" max="2570" width="13.5" style="3" customWidth="1"/>
    <col min="2571" max="2571" width="5.375" style="3" customWidth="1"/>
    <col min="2572" max="2816" width="9" style="3"/>
    <col min="2817" max="2817" width="14.75" style="3" customWidth="1"/>
    <col min="2818" max="2818" width="26" style="3" customWidth="1"/>
    <col min="2819" max="2819" width="15.125" style="3" customWidth="1"/>
    <col min="2820" max="2820" width="15.375" style="3" customWidth="1"/>
    <col min="2821" max="2821" width="12.375" style="3" customWidth="1"/>
    <col min="2822" max="2822" width="10.875" style="3" customWidth="1"/>
    <col min="2823" max="2823" width="11.375" style="3" customWidth="1"/>
    <col min="2824" max="2824" width="10.75" style="3" customWidth="1"/>
    <col min="2825" max="2825" width="9.25" style="3" customWidth="1"/>
    <col min="2826" max="2826" width="13.5" style="3" customWidth="1"/>
    <col min="2827" max="2827" width="5.375" style="3" customWidth="1"/>
    <col min="2828" max="3072" width="9" style="3"/>
    <col min="3073" max="3073" width="14.75" style="3" customWidth="1"/>
    <col min="3074" max="3074" width="26" style="3" customWidth="1"/>
    <col min="3075" max="3075" width="15.125" style="3" customWidth="1"/>
    <col min="3076" max="3076" width="15.375" style="3" customWidth="1"/>
    <col min="3077" max="3077" width="12.375" style="3" customWidth="1"/>
    <col min="3078" max="3078" width="10.875" style="3" customWidth="1"/>
    <col min="3079" max="3079" width="11.375" style="3" customWidth="1"/>
    <col min="3080" max="3080" width="10.75" style="3" customWidth="1"/>
    <col min="3081" max="3081" width="9.25" style="3" customWidth="1"/>
    <col min="3082" max="3082" width="13.5" style="3" customWidth="1"/>
    <col min="3083" max="3083" width="5.375" style="3" customWidth="1"/>
    <col min="3084" max="3328" width="9" style="3"/>
    <col min="3329" max="3329" width="14.75" style="3" customWidth="1"/>
    <col min="3330" max="3330" width="26" style="3" customWidth="1"/>
    <col min="3331" max="3331" width="15.125" style="3" customWidth="1"/>
    <col min="3332" max="3332" width="15.375" style="3" customWidth="1"/>
    <col min="3333" max="3333" width="12.375" style="3" customWidth="1"/>
    <col min="3334" max="3334" width="10.875" style="3" customWidth="1"/>
    <col min="3335" max="3335" width="11.375" style="3" customWidth="1"/>
    <col min="3336" max="3336" width="10.75" style="3" customWidth="1"/>
    <col min="3337" max="3337" width="9.25" style="3" customWidth="1"/>
    <col min="3338" max="3338" width="13.5" style="3" customWidth="1"/>
    <col min="3339" max="3339" width="5.375" style="3" customWidth="1"/>
    <col min="3340" max="3584" width="9" style="3"/>
    <col min="3585" max="3585" width="14.75" style="3" customWidth="1"/>
    <col min="3586" max="3586" width="26" style="3" customWidth="1"/>
    <col min="3587" max="3587" width="15.125" style="3" customWidth="1"/>
    <col min="3588" max="3588" width="15.375" style="3" customWidth="1"/>
    <col min="3589" max="3589" width="12.375" style="3" customWidth="1"/>
    <col min="3590" max="3590" width="10.875" style="3" customWidth="1"/>
    <col min="3591" max="3591" width="11.375" style="3" customWidth="1"/>
    <col min="3592" max="3592" width="10.75" style="3" customWidth="1"/>
    <col min="3593" max="3593" width="9.25" style="3" customWidth="1"/>
    <col min="3594" max="3594" width="13.5" style="3" customWidth="1"/>
    <col min="3595" max="3595" width="5.375" style="3" customWidth="1"/>
    <col min="3596" max="3840" width="9" style="3"/>
    <col min="3841" max="3841" width="14.75" style="3" customWidth="1"/>
    <col min="3842" max="3842" width="26" style="3" customWidth="1"/>
    <col min="3843" max="3843" width="15.125" style="3" customWidth="1"/>
    <col min="3844" max="3844" width="15.375" style="3" customWidth="1"/>
    <col min="3845" max="3845" width="12.375" style="3" customWidth="1"/>
    <col min="3846" max="3846" width="10.875" style="3" customWidth="1"/>
    <col min="3847" max="3847" width="11.375" style="3" customWidth="1"/>
    <col min="3848" max="3848" width="10.75" style="3" customWidth="1"/>
    <col min="3849" max="3849" width="9.25" style="3" customWidth="1"/>
    <col min="3850" max="3850" width="13.5" style="3" customWidth="1"/>
    <col min="3851" max="3851" width="5.375" style="3" customWidth="1"/>
    <col min="3852" max="4096" width="9" style="3"/>
    <col min="4097" max="4097" width="14.75" style="3" customWidth="1"/>
    <col min="4098" max="4098" width="26" style="3" customWidth="1"/>
    <col min="4099" max="4099" width="15.125" style="3" customWidth="1"/>
    <col min="4100" max="4100" width="15.375" style="3" customWidth="1"/>
    <col min="4101" max="4101" width="12.375" style="3" customWidth="1"/>
    <col min="4102" max="4102" width="10.875" style="3" customWidth="1"/>
    <col min="4103" max="4103" width="11.375" style="3" customWidth="1"/>
    <col min="4104" max="4104" width="10.75" style="3" customWidth="1"/>
    <col min="4105" max="4105" width="9.25" style="3" customWidth="1"/>
    <col min="4106" max="4106" width="13.5" style="3" customWidth="1"/>
    <col min="4107" max="4107" width="5.375" style="3" customWidth="1"/>
    <col min="4108" max="4352" width="9" style="3"/>
    <col min="4353" max="4353" width="14.75" style="3" customWidth="1"/>
    <col min="4354" max="4354" width="26" style="3" customWidth="1"/>
    <col min="4355" max="4355" width="15.125" style="3" customWidth="1"/>
    <col min="4356" max="4356" width="15.375" style="3" customWidth="1"/>
    <col min="4357" max="4357" width="12.375" style="3" customWidth="1"/>
    <col min="4358" max="4358" width="10.875" style="3" customWidth="1"/>
    <col min="4359" max="4359" width="11.375" style="3" customWidth="1"/>
    <col min="4360" max="4360" width="10.75" style="3" customWidth="1"/>
    <col min="4361" max="4361" width="9.25" style="3" customWidth="1"/>
    <col min="4362" max="4362" width="13.5" style="3" customWidth="1"/>
    <col min="4363" max="4363" width="5.375" style="3" customWidth="1"/>
    <col min="4364" max="4608" width="9" style="3"/>
    <col min="4609" max="4609" width="14.75" style="3" customWidth="1"/>
    <col min="4610" max="4610" width="26" style="3" customWidth="1"/>
    <col min="4611" max="4611" width="15.125" style="3" customWidth="1"/>
    <col min="4612" max="4612" width="15.375" style="3" customWidth="1"/>
    <col min="4613" max="4613" width="12.375" style="3" customWidth="1"/>
    <col min="4614" max="4614" width="10.875" style="3" customWidth="1"/>
    <col min="4615" max="4615" width="11.375" style="3" customWidth="1"/>
    <col min="4616" max="4616" width="10.75" style="3" customWidth="1"/>
    <col min="4617" max="4617" width="9.25" style="3" customWidth="1"/>
    <col min="4618" max="4618" width="13.5" style="3" customWidth="1"/>
    <col min="4619" max="4619" width="5.375" style="3" customWidth="1"/>
    <col min="4620" max="4864" width="9" style="3"/>
    <col min="4865" max="4865" width="14.75" style="3" customWidth="1"/>
    <col min="4866" max="4866" width="26" style="3" customWidth="1"/>
    <col min="4867" max="4867" width="15.125" style="3" customWidth="1"/>
    <col min="4868" max="4868" width="15.375" style="3" customWidth="1"/>
    <col min="4869" max="4869" width="12.375" style="3" customWidth="1"/>
    <col min="4870" max="4870" width="10.875" style="3" customWidth="1"/>
    <col min="4871" max="4871" width="11.375" style="3" customWidth="1"/>
    <col min="4872" max="4872" width="10.75" style="3" customWidth="1"/>
    <col min="4873" max="4873" width="9.25" style="3" customWidth="1"/>
    <col min="4874" max="4874" width="13.5" style="3" customWidth="1"/>
    <col min="4875" max="4875" width="5.375" style="3" customWidth="1"/>
    <col min="4876" max="5120" width="9" style="3"/>
    <col min="5121" max="5121" width="14.75" style="3" customWidth="1"/>
    <col min="5122" max="5122" width="26" style="3" customWidth="1"/>
    <col min="5123" max="5123" width="15.125" style="3" customWidth="1"/>
    <col min="5124" max="5124" width="15.375" style="3" customWidth="1"/>
    <col min="5125" max="5125" width="12.375" style="3" customWidth="1"/>
    <col min="5126" max="5126" width="10.875" style="3" customWidth="1"/>
    <col min="5127" max="5127" width="11.375" style="3" customWidth="1"/>
    <col min="5128" max="5128" width="10.75" style="3" customWidth="1"/>
    <col min="5129" max="5129" width="9.25" style="3" customWidth="1"/>
    <col min="5130" max="5130" width="13.5" style="3" customWidth="1"/>
    <col min="5131" max="5131" width="5.375" style="3" customWidth="1"/>
    <col min="5132" max="5376" width="9" style="3"/>
    <col min="5377" max="5377" width="14.75" style="3" customWidth="1"/>
    <col min="5378" max="5378" width="26" style="3" customWidth="1"/>
    <col min="5379" max="5379" width="15.125" style="3" customWidth="1"/>
    <col min="5380" max="5380" width="15.375" style="3" customWidth="1"/>
    <col min="5381" max="5381" width="12.375" style="3" customWidth="1"/>
    <col min="5382" max="5382" width="10.875" style="3" customWidth="1"/>
    <col min="5383" max="5383" width="11.375" style="3" customWidth="1"/>
    <col min="5384" max="5384" width="10.75" style="3" customWidth="1"/>
    <col min="5385" max="5385" width="9.25" style="3" customWidth="1"/>
    <col min="5386" max="5386" width="13.5" style="3" customWidth="1"/>
    <col min="5387" max="5387" width="5.375" style="3" customWidth="1"/>
    <col min="5388" max="5632" width="9" style="3"/>
    <col min="5633" max="5633" width="14.75" style="3" customWidth="1"/>
    <col min="5634" max="5634" width="26" style="3" customWidth="1"/>
    <col min="5635" max="5635" width="15.125" style="3" customWidth="1"/>
    <col min="5636" max="5636" width="15.375" style="3" customWidth="1"/>
    <col min="5637" max="5637" width="12.375" style="3" customWidth="1"/>
    <col min="5638" max="5638" width="10.875" style="3" customWidth="1"/>
    <col min="5639" max="5639" width="11.375" style="3" customWidth="1"/>
    <col min="5640" max="5640" width="10.75" style="3" customWidth="1"/>
    <col min="5641" max="5641" width="9.25" style="3" customWidth="1"/>
    <col min="5642" max="5642" width="13.5" style="3" customWidth="1"/>
    <col min="5643" max="5643" width="5.375" style="3" customWidth="1"/>
    <col min="5644" max="5888" width="9" style="3"/>
    <col min="5889" max="5889" width="14.75" style="3" customWidth="1"/>
    <col min="5890" max="5890" width="26" style="3" customWidth="1"/>
    <col min="5891" max="5891" width="15.125" style="3" customWidth="1"/>
    <col min="5892" max="5892" width="15.375" style="3" customWidth="1"/>
    <col min="5893" max="5893" width="12.375" style="3" customWidth="1"/>
    <col min="5894" max="5894" width="10.875" style="3" customWidth="1"/>
    <col min="5895" max="5895" width="11.375" style="3" customWidth="1"/>
    <col min="5896" max="5896" width="10.75" style="3" customWidth="1"/>
    <col min="5897" max="5897" width="9.25" style="3" customWidth="1"/>
    <col min="5898" max="5898" width="13.5" style="3" customWidth="1"/>
    <col min="5899" max="5899" width="5.375" style="3" customWidth="1"/>
    <col min="5900" max="6144" width="9" style="3"/>
    <col min="6145" max="6145" width="14.75" style="3" customWidth="1"/>
    <col min="6146" max="6146" width="26" style="3" customWidth="1"/>
    <col min="6147" max="6147" width="15.125" style="3" customWidth="1"/>
    <col min="6148" max="6148" width="15.375" style="3" customWidth="1"/>
    <col min="6149" max="6149" width="12.375" style="3" customWidth="1"/>
    <col min="6150" max="6150" width="10.875" style="3" customWidth="1"/>
    <col min="6151" max="6151" width="11.375" style="3" customWidth="1"/>
    <col min="6152" max="6152" width="10.75" style="3" customWidth="1"/>
    <col min="6153" max="6153" width="9.25" style="3" customWidth="1"/>
    <col min="6154" max="6154" width="13.5" style="3" customWidth="1"/>
    <col min="6155" max="6155" width="5.375" style="3" customWidth="1"/>
    <col min="6156" max="6400" width="9" style="3"/>
    <col min="6401" max="6401" width="14.75" style="3" customWidth="1"/>
    <col min="6402" max="6402" width="26" style="3" customWidth="1"/>
    <col min="6403" max="6403" width="15.125" style="3" customWidth="1"/>
    <col min="6404" max="6404" width="15.375" style="3" customWidth="1"/>
    <col min="6405" max="6405" width="12.375" style="3" customWidth="1"/>
    <col min="6406" max="6406" width="10.875" style="3" customWidth="1"/>
    <col min="6407" max="6407" width="11.375" style="3" customWidth="1"/>
    <col min="6408" max="6408" width="10.75" style="3" customWidth="1"/>
    <col min="6409" max="6409" width="9.25" style="3" customWidth="1"/>
    <col min="6410" max="6410" width="13.5" style="3" customWidth="1"/>
    <col min="6411" max="6411" width="5.375" style="3" customWidth="1"/>
    <col min="6412" max="6656" width="9" style="3"/>
    <col min="6657" max="6657" width="14.75" style="3" customWidth="1"/>
    <col min="6658" max="6658" width="26" style="3" customWidth="1"/>
    <col min="6659" max="6659" width="15.125" style="3" customWidth="1"/>
    <col min="6660" max="6660" width="15.375" style="3" customWidth="1"/>
    <col min="6661" max="6661" width="12.375" style="3" customWidth="1"/>
    <col min="6662" max="6662" width="10.875" style="3" customWidth="1"/>
    <col min="6663" max="6663" width="11.375" style="3" customWidth="1"/>
    <col min="6664" max="6664" width="10.75" style="3" customWidth="1"/>
    <col min="6665" max="6665" width="9.25" style="3" customWidth="1"/>
    <col min="6666" max="6666" width="13.5" style="3" customWidth="1"/>
    <col min="6667" max="6667" width="5.375" style="3" customWidth="1"/>
    <col min="6668" max="6912" width="9" style="3"/>
    <col min="6913" max="6913" width="14.75" style="3" customWidth="1"/>
    <col min="6914" max="6914" width="26" style="3" customWidth="1"/>
    <col min="6915" max="6915" width="15.125" style="3" customWidth="1"/>
    <col min="6916" max="6916" width="15.375" style="3" customWidth="1"/>
    <col min="6917" max="6917" width="12.375" style="3" customWidth="1"/>
    <col min="6918" max="6918" width="10.875" style="3" customWidth="1"/>
    <col min="6919" max="6919" width="11.375" style="3" customWidth="1"/>
    <col min="6920" max="6920" width="10.75" style="3" customWidth="1"/>
    <col min="6921" max="6921" width="9.25" style="3" customWidth="1"/>
    <col min="6922" max="6922" width="13.5" style="3" customWidth="1"/>
    <col min="6923" max="6923" width="5.375" style="3" customWidth="1"/>
    <col min="6924" max="7168" width="9" style="3"/>
    <col min="7169" max="7169" width="14.75" style="3" customWidth="1"/>
    <col min="7170" max="7170" width="26" style="3" customWidth="1"/>
    <col min="7171" max="7171" width="15.125" style="3" customWidth="1"/>
    <col min="7172" max="7172" width="15.375" style="3" customWidth="1"/>
    <col min="7173" max="7173" width="12.375" style="3" customWidth="1"/>
    <col min="7174" max="7174" width="10.875" style="3" customWidth="1"/>
    <col min="7175" max="7175" width="11.375" style="3" customWidth="1"/>
    <col min="7176" max="7176" width="10.75" style="3" customWidth="1"/>
    <col min="7177" max="7177" width="9.25" style="3" customWidth="1"/>
    <col min="7178" max="7178" width="13.5" style="3" customWidth="1"/>
    <col min="7179" max="7179" width="5.375" style="3" customWidth="1"/>
    <col min="7180" max="7424" width="9" style="3"/>
    <col min="7425" max="7425" width="14.75" style="3" customWidth="1"/>
    <col min="7426" max="7426" width="26" style="3" customWidth="1"/>
    <col min="7427" max="7427" width="15.125" style="3" customWidth="1"/>
    <col min="7428" max="7428" width="15.375" style="3" customWidth="1"/>
    <col min="7429" max="7429" width="12.375" style="3" customWidth="1"/>
    <col min="7430" max="7430" width="10.875" style="3" customWidth="1"/>
    <col min="7431" max="7431" width="11.375" style="3" customWidth="1"/>
    <col min="7432" max="7432" width="10.75" style="3" customWidth="1"/>
    <col min="7433" max="7433" width="9.25" style="3" customWidth="1"/>
    <col min="7434" max="7434" width="13.5" style="3" customWidth="1"/>
    <col min="7435" max="7435" width="5.375" style="3" customWidth="1"/>
    <col min="7436" max="7680" width="9" style="3"/>
    <col min="7681" max="7681" width="14.75" style="3" customWidth="1"/>
    <col min="7682" max="7682" width="26" style="3" customWidth="1"/>
    <col min="7683" max="7683" width="15.125" style="3" customWidth="1"/>
    <col min="7684" max="7684" width="15.375" style="3" customWidth="1"/>
    <col min="7685" max="7685" width="12.375" style="3" customWidth="1"/>
    <col min="7686" max="7686" width="10.875" style="3" customWidth="1"/>
    <col min="7687" max="7687" width="11.375" style="3" customWidth="1"/>
    <col min="7688" max="7688" width="10.75" style="3" customWidth="1"/>
    <col min="7689" max="7689" width="9.25" style="3" customWidth="1"/>
    <col min="7690" max="7690" width="13.5" style="3" customWidth="1"/>
    <col min="7691" max="7691" width="5.375" style="3" customWidth="1"/>
    <col min="7692" max="7936" width="9" style="3"/>
    <col min="7937" max="7937" width="14.75" style="3" customWidth="1"/>
    <col min="7938" max="7938" width="26" style="3" customWidth="1"/>
    <col min="7939" max="7939" width="15.125" style="3" customWidth="1"/>
    <col min="7940" max="7940" width="15.375" style="3" customWidth="1"/>
    <col min="7941" max="7941" width="12.375" style="3" customWidth="1"/>
    <col min="7942" max="7942" width="10.875" style="3" customWidth="1"/>
    <col min="7943" max="7943" width="11.375" style="3" customWidth="1"/>
    <col min="7944" max="7944" width="10.75" style="3" customWidth="1"/>
    <col min="7945" max="7945" width="9.25" style="3" customWidth="1"/>
    <col min="7946" max="7946" width="13.5" style="3" customWidth="1"/>
    <col min="7947" max="7947" width="5.375" style="3" customWidth="1"/>
    <col min="7948" max="8192" width="9" style="3"/>
    <col min="8193" max="8193" width="14.75" style="3" customWidth="1"/>
    <col min="8194" max="8194" width="26" style="3" customWidth="1"/>
    <col min="8195" max="8195" width="15.125" style="3" customWidth="1"/>
    <col min="8196" max="8196" width="15.375" style="3" customWidth="1"/>
    <col min="8197" max="8197" width="12.375" style="3" customWidth="1"/>
    <col min="8198" max="8198" width="10.875" style="3" customWidth="1"/>
    <col min="8199" max="8199" width="11.375" style="3" customWidth="1"/>
    <col min="8200" max="8200" width="10.75" style="3" customWidth="1"/>
    <col min="8201" max="8201" width="9.25" style="3" customWidth="1"/>
    <col min="8202" max="8202" width="13.5" style="3" customWidth="1"/>
    <col min="8203" max="8203" width="5.375" style="3" customWidth="1"/>
    <col min="8204" max="8448" width="9" style="3"/>
    <col min="8449" max="8449" width="14.75" style="3" customWidth="1"/>
    <col min="8450" max="8450" width="26" style="3" customWidth="1"/>
    <col min="8451" max="8451" width="15.125" style="3" customWidth="1"/>
    <col min="8452" max="8452" width="15.375" style="3" customWidth="1"/>
    <col min="8453" max="8453" width="12.375" style="3" customWidth="1"/>
    <col min="8454" max="8454" width="10.875" style="3" customWidth="1"/>
    <col min="8455" max="8455" width="11.375" style="3" customWidth="1"/>
    <col min="8456" max="8456" width="10.75" style="3" customWidth="1"/>
    <col min="8457" max="8457" width="9.25" style="3" customWidth="1"/>
    <col min="8458" max="8458" width="13.5" style="3" customWidth="1"/>
    <col min="8459" max="8459" width="5.375" style="3" customWidth="1"/>
    <col min="8460" max="8704" width="9" style="3"/>
    <col min="8705" max="8705" width="14.75" style="3" customWidth="1"/>
    <col min="8706" max="8706" width="26" style="3" customWidth="1"/>
    <col min="8707" max="8707" width="15.125" style="3" customWidth="1"/>
    <col min="8708" max="8708" width="15.375" style="3" customWidth="1"/>
    <col min="8709" max="8709" width="12.375" style="3" customWidth="1"/>
    <col min="8710" max="8710" width="10.875" style="3" customWidth="1"/>
    <col min="8711" max="8711" width="11.375" style="3" customWidth="1"/>
    <col min="8712" max="8712" width="10.75" style="3" customWidth="1"/>
    <col min="8713" max="8713" width="9.25" style="3" customWidth="1"/>
    <col min="8714" max="8714" width="13.5" style="3" customWidth="1"/>
    <col min="8715" max="8715" width="5.375" style="3" customWidth="1"/>
    <col min="8716" max="8960" width="9" style="3"/>
    <col min="8961" max="8961" width="14.75" style="3" customWidth="1"/>
    <col min="8962" max="8962" width="26" style="3" customWidth="1"/>
    <col min="8963" max="8963" width="15.125" style="3" customWidth="1"/>
    <col min="8964" max="8964" width="15.375" style="3" customWidth="1"/>
    <col min="8965" max="8965" width="12.375" style="3" customWidth="1"/>
    <col min="8966" max="8966" width="10.875" style="3" customWidth="1"/>
    <col min="8967" max="8967" width="11.375" style="3" customWidth="1"/>
    <col min="8968" max="8968" width="10.75" style="3" customWidth="1"/>
    <col min="8969" max="8969" width="9.25" style="3" customWidth="1"/>
    <col min="8970" max="8970" width="13.5" style="3" customWidth="1"/>
    <col min="8971" max="8971" width="5.375" style="3" customWidth="1"/>
    <col min="8972" max="9216" width="9" style="3"/>
    <col min="9217" max="9217" width="14.75" style="3" customWidth="1"/>
    <col min="9218" max="9218" width="26" style="3" customWidth="1"/>
    <col min="9219" max="9219" width="15.125" style="3" customWidth="1"/>
    <col min="9220" max="9220" width="15.375" style="3" customWidth="1"/>
    <col min="9221" max="9221" width="12.375" style="3" customWidth="1"/>
    <col min="9222" max="9222" width="10.875" style="3" customWidth="1"/>
    <col min="9223" max="9223" width="11.375" style="3" customWidth="1"/>
    <col min="9224" max="9224" width="10.75" style="3" customWidth="1"/>
    <col min="9225" max="9225" width="9.25" style="3" customWidth="1"/>
    <col min="9226" max="9226" width="13.5" style="3" customWidth="1"/>
    <col min="9227" max="9227" width="5.375" style="3" customWidth="1"/>
    <col min="9228" max="9472" width="9" style="3"/>
    <col min="9473" max="9473" width="14.75" style="3" customWidth="1"/>
    <col min="9474" max="9474" width="26" style="3" customWidth="1"/>
    <col min="9475" max="9475" width="15.125" style="3" customWidth="1"/>
    <col min="9476" max="9476" width="15.375" style="3" customWidth="1"/>
    <col min="9477" max="9477" width="12.375" style="3" customWidth="1"/>
    <col min="9478" max="9478" width="10.875" style="3" customWidth="1"/>
    <col min="9479" max="9479" width="11.375" style="3" customWidth="1"/>
    <col min="9480" max="9480" width="10.75" style="3" customWidth="1"/>
    <col min="9481" max="9481" width="9.25" style="3" customWidth="1"/>
    <col min="9482" max="9482" width="13.5" style="3" customWidth="1"/>
    <col min="9483" max="9483" width="5.375" style="3" customWidth="1"/>
    <col min="9484" max="9728" width="9" style="3"/>
    <col min="9729" max="9729" width="14.75" style="3" customWidth="1"/>
    <col min="9730" max="9730" width="26" style="3" customWidth="1"/>
    <col min="9731" max="9731" width="15.125" style="3" customWidth="1"/>
    <col min="9732" max="9732" width="15.375" style="3" customWidth="1"/>
    <col min="9733" max="9733" width="12.375" style="3" customWidth="1"/>
    <col min="9734" max="9734" width="10.875" style="3" customWidth="1"/>
    <col min="9735" max="9735" width="11.375" style="3" customWidth="1"/>
    <col min="9736" max="9736" width="10.75" style="3" customWidth="1"/>
    <col min="9737" max="9737" width="9.25" style="3" customWidth="1"/>
    <col min="9738" max="9738" width="13.5" style="3" customWidth="1"/>
    <col min="9739" max="9739" width="5.375" style="3" customWidth="1"/>
    <col min="9740" max="9984" width="9" style="3"/>
    <col min="9985" max="9985" width="14.75" style="3" customWidth="1"/>
    <col min="9986" max="9986" width="26" style="3" customWidth="1"/>
    <col min="9987" max="9987" width="15.125" style="3" customWidth="1"/>
    <col min="9988" max="9988" width="15.375" style="3" customWidth="1"/>
    <col min="9989" max="9989" width="12.375" style="3" customWidth="1"/>
    <col min="9990" max="9990" width="10.875" style="3" customWidth="1"/>
    <col min="9991" max="9991" width="11.375" style="3" customWidth="1"/>
    <col min="9992" max="9992" width="10.75" style="3" customWidth="1"/>
    <col min="9993" max="9993" width="9.25" style="3" customWidth="1"/>
    <col min="9994" max="9994" width="13.5" style="3" customWidth="1"/>
    <col min="9995" max="9995" width="5.375" style="3" customWidth="1"/>
    <col min="9996" max="10240" width="9" style="3"/>
    <col min="10241" max="10241" width="14.75" style="3" customWidth="1"/>
    <col min="10242" max="10242" width="26" style="3" customWidth="1"/>
    <col min="10243" max="10243" width="15.125" style="3" customWidth="1"/>
    <col min="10244" max="10244" width="15.375" style="3" customWidth="1"/>
    <col min="10245" max="10245" width="12.375" style="3" customWidth="1"/>
    <col min="10246" max="10246" width="10.875" style="3" customWidth="1"/>
    <col min="10247" max="10247" width="11.375" style="3" customWidth="1"/>
    <col min="10248" max="10248" width="10.75" style="3" customWidth="1"/>
    <col min="10249" max="10249" width="9.25" style="3" customWidth="1"/>
    <col min="10250" max="10250" width="13.5" style="3" customWidth="1"/>
    <col min="10251" max="10251" width="5.375" style="3" customWidth="1"/>
    <col min="10252" max="10496" width="9" style="3"/>
    <col min="10497" max="10497" width="14.75" style="3" customWidth="1"/>
    <col min="10498" max="10498" width="26" style="3" customWidth="1"/>
    <col min="10499" max="10499" width="15.125" style="3" customWidth="1"/>
    <col min="10500" max="10500" width="15.375" style="3" customWidth="1"/>
    <col min="10501" max="10501" width="12.375" style="3" customWidth="1"/>
    <col min="10502" max="10502" width="10.875" style="3" customWidth="1"/>
    <col min="10503" max="10503" width="11.375" style="3" customWidth="1"/>
    <col min="10504" max="10504" width="10.75" style="3" customWidth="1"/>
    <col min="10505" max="10505" width="9.25" style="3" customWidth="1"/>
    <col min="10506" max="10506" width="13.5" style="3" customWidth="1"/>
    <col min="10507" max="10507" width="5.375" style="3" customWidth="1"/>
    <col min="10508" max="10752" width="9" style="3"/>
    <col min="10753" max="10753" width="14.75" style="3" customWidth="1"/>
    <col min="10754" max="10754" width="26" style="3" customWidth="1"/>
    <col min="10755" max="10755" width="15.125" style="3" customWidth="1"/>
    <col min="10756" max="10756" width="15.375" style="3" customWidth="1"/>
    <col min="10757" max="10757" width="12.375" style="3" customWidth="1"/>
    <col min="10758" max="10758" width="10.875" style="3" customWidth="1"/>
    <col min="10759" max="10759" width="11.375" style="3" customWidth="1"/>
    <col min="10760" max="10760" width="10.75" style="3" customWidth="1"/>
    <col min="10761" max="10761" width="9.25" style="3" customWidth="1"/>
    <col min="10762" max="10762" width="13.5" style="3" customWidth="1"/>
    <col min="10763" max="10763" width="5.375" style="3" customWidth="1"/>
    <col min="10764" max="11008" width="9" style="3"/>
    <col min="11009" max="11009" width="14.75" style="3" customWidth="1"/>
    <col min="11010" max="11010" width="26" style="3" customWidth="1"/>
    <col min="11011" max="11011" width="15.125" style="3" customWidth="1"/>
    <col min="11012" max="11012" width="15.375" style="3" customWidth="1"/>
    <col min="11013" max="11013" width="12.375" style="3" customWidth="1"/>
    <col min="11014" max="11014" width="10.875" style="3" customWidth="1"/>
    <col min="11015" max="11015" width="11.375" style="3" customWidth="1"/>
    <col min="11016" max="11016" width="10.75" style="3" customWidth="1"/>
    <col min="11017" max="11017" width="9.25" style="3" customWidth="1"/>
    <col min="11018" max="11018" width="13.5" style="3" customWidth="1"/>
    <col min="11019" max="11019" width="5.375" style="3" customWidth="1"/>
    <col min="11020" max="11264" width="9" style="3"/>
    <col min="11265" max="11265" width="14.75" style="3" customWidth="1"/>
    <col min="11266" max="11266" width="26" style="3" customWidth="1"/>
    <col min="11267" max="11267" width="15.125" style="3" customWidth="1"/>
    <col min="11268" max="11268" width="15.375" style="3" customWidth="1"/>
    <col min="11269" max="11269" width="12.375" style="3" customWidth="1"/>
    <col min="11270" max="11270" width="10.875" style="3" customWidth="1"/>
    <col min="11271" max="11271" width="11.375" style="3" customWidth="1"/>
    <col min="11272" max="11272" width="10.75" style="3" customWidth="1"/>
    <col min="11273" max="11273" width="9.25" style="3" customWidth="1"/>
    <col min="11274" max="11274" width="13.5" style="3" customWidth="1"/>
    <col min="11275" max="11275" width="5.375" style="3" customWidth="1"/>
    <col min="11276" max="11520" width="9" style="3"/>
    <col min="11521" max="11521" width="14.75" style="3" customWidth="1"/>
    <col min="11522" max="11522" width="26" style="3" customWidth="1"/>
    <col min="11523" max="11523" width="15.125" style="3" customWidth="1"/>
    <col min="11524" max="11524" width="15.375" style="3" customWidth="1"/>
    <col min="11525" max="11525" width="12.375" style="3" customWidth="1"/>
    <col min="11526" max="11526" width="10.875" style="3" customWidth="1"/>
    <col min="11527" max="11527" width="11.375" style="3" customWidth="1"/>
    <col min="11528" max="11528" width="10.75" style="3" customWidth="1"/>
    <col min="11529" max="11529" width="9.25" style="3" customWidth="1"/>
    <col min="11530" max="11530" width="13.5" style="3" customWidth="1"/>
    <col min="11531" max="11531" width="5.375" style="3" customWidth="1"/>
    <col min="11532" max="11776" width="9" style="3"/>
    <col min="11777" max="11777" width="14.75" style="3" customWidth="1"/>
    <col min="11778" max="11778" width="26" style="3" customWidth="1"/>
    <col min="11779" max="11779" width="15.125" style="3" customWidth="1"/>
    <col min="11780" max="11780" width="15.375" style="3" customWidth="1"/>
    <col min="11781" max="11781" width="12.375" style="3" customWidth="1"/>
    <col min="11782" max="11782" width="10.875" style="3" customWidth="1"/>
    <col min="11783" max="11783" width="11.375" style="3" customWidth="1"/>
    <col min="11784" max="11784" width="10.75" style="3" customWidth="1"/>
    <col min="11785" max="11785" width="9.25" style="3" customWidth="1"/>
    <col min="11786" max="11786" width="13.5" style="3" customWidth="1"/>
    <col min="11787" max="11787" width="5.375" style="3" customWidth="1"/>
    <col min="11788" max="12032" width="9" style="3"/>
    <col min="12033" max="12033" width="14.75" style="3" customWidth="1"/>
    <col min="12034" max="12034" width="26" style="3" customWidth="1"/>
    <col min="12035" max="12035" width="15.125" style="3" customWidth="1"/>
    <col min="12036" max="12036" width="15.375" style="3" customWidth="1"/>
    <col min="12037" max="12037" width="12.375" style="3" customWidth="1"/>
    <col min="12038" max="12038" width="10.875" style="3" customWidth="1"/>
    <col min="12039" max="12039" width="11.375" style="3" customWidth="1"/>
    <col min="12040" max="12040" width="10.75" style="3" customWidth="1"/>
    <col min="12041" max="12041" width="9.25" style="3" customWidth="1"/>
    <col min="12042" max="12042" width="13.5" style="3" customWidth="1"/>
    <col min="12043" max="12043" width="5.375" style="3" customWidth="1"/>
    <col min="12044" max="12288" width="9" style="3"/>
    <col min="12289" max="12289" width="14.75" style="3" customWidth="1"/>
    <col min="12290" max="12290" width="26" style="3" customWidth="1"/>
    <col min="12291" max="12291" width="15.125" style="3" customWidth="1"/>
    <col min="12292" max="12292" width="15.375" style="3" customWidth="1"/>
    <col min="12293" max="12293" width="12.375" style="3" customWidth="1"/>
    <col min="12294" max="12294" width="10.875" style="3" customWidth="1"/>
    <col min="12295" max="12295" width="11.375" style="3" customWidth="1"/>
    <col min="12296" max="12296" width="10.75" style="3" customWidth="1"/>
    <col min="12297" max="12297" width="9.25" style="3" customWidth="1"/>
    <col min="12298" max="12298" width="13.5" style="3" customWidth="1"/>
    <col min="12299" max="12299" width="5.375" style="3" customWidth="1"/>
    <col min="12300" max="12544" width="9" style="3"/>
    <col min="12545" max="12545" width="14.75" style="3" customWidth="1"/>
    <col min="12546" max="12546" width="26" style="3" customWidth="1"/>
    <col min="12547" max="12547" width="15.125" style="3" customWidth="1"/>
    <col min="12548" max="12548" width="15.375" style="3" customWidth="1"/>
    <col min="12549" max="12549" width="12.375" style="3" customWidth="1"/>
    <col min="12550" max="12550" width="10.875" style="3" customWidth="1"/>
    <col min="12551" max="12551" width="11.375" style="3" customWidth="1"/>
    <col min="12552" max="12552" width="10.75" style="3" customWidth="1"/>
    <col min="12553" max="12553" width="9.25" style="3" customWidth="1"/>
    <col min="12554" max="12554" width="13.5" style="3" customWidth="1"/>
    <col min="12555" max="12555" width="5.375" style="3" customWidth="1"/>
    <col min="12556" max="12800" width="9" style="3"/>
    <col min="12801" max="12801" width="14.75" style="3" customWidth="1"/>
    <col min="12802" max="12802" width="26" style="3" customWidth="1"/>
    <col min="12803" max="12803" width="15.125" style="3" customWidth="1"/>
    <col min="12804" max="12804" width="15.375" style="3" customWidth="1"/>
    <col min="12805" max="12805" width="12.375" style="3" customWidth="1"/>
    <col min="12806" max="12806" width="10.875" style="3" customWidth="1"/>
    <col min="12807" max="12807" width="11.375" style="3" customWidth="1"/>
    <col min="12808" max="12808" width="10.75" style="3" customWidth="1"/>
    <col min="12809" max="12809" width="9.25" style="3" customWidth="1"/>
    <col min="12810" max="12810" width="13.5" style="3" customWidth="1"/>
    <col min="12811" max="12811" width="5.375" style="3" customWidth="1"/>
    <col min="12812" max="13056" width="9" style="3"/>
    <col min="13057" max="13057" width="14.75" style="3" customWidth="1"/>
    <col min="13058" max="13058" width="26" style="3" customWidth="1"/>
    <col min="13059" max="13059" width="15.125" style="3" customWidth="1"/>
    <col min="13060" max="13060" width="15.375" style="3" customWidth="1"/>
    <col min="13061" max="13061" width="12.375" style="3" customWidth="1"/>
    <col min="13062" max="13062" width="10.875" style="3" customWidth="1"/>
    <col min="13063" max="13063" width="11.375" style="3" customWidth="1"/>
    <col min="13064" max="13064" width="10.75" style="3" customWidth="1"/>
    <col min="13065" max="13065" width="9.25" style="3" customWidth="1"/>
    <col min="13066" max="13066" width="13.5" style="3" customWidth="1"/>
    <col min="13067" max="13067" width="5.375" style="3" customWidth="1"/>
    <col min="13068" max="13312" width="9" style="3"/>
    <col min="13313" max="13313" width="14.75" style="3" customWidth="1"/>
    <col min="13314" max="13314" width="26" style="3" customWidth="1"/>
    <col min="13315" max="13315" width="15.125" style="3" customWidth="1"/>
    <col min="13316" max="13316" width="15.375" style="3" customWidth="1"/>
    <col min="13317" max="13317" width="12.375" style="3" customWidth="1"/>
    <col min="13318" max="13318" width="10.875" style="3" customWidth="1"/>
    <col min="13319" max="13319" width="11.375" style="3" customWidth="1"/>
    <col min="13320" max="13320" width="10.75" style="3" customWidth="1"/>
    <col min="13321" max="13321" width="9.25" style="3" customWidth="1"/>
    <col min="13322" max="13322" width="13.5" style="3" customWidth="1"/>
    <col min="13323" max="13323" width="5.375" style="3" customWidth="1"/>
    <col min="13324" max="13568" width="9" style="3"/>
    <col min="13569" max="13569" width="14.75" style="3" customWidth="1"/>
    <col min="13570" max="13570" width="26" style="3" customWidth="1"/>
    <col min="13571" max="13571" width="15.125" style="3" customWidth="1"/>
    <col min="13572" max="13572" width="15.375" style="3" customWidth="1"/>
    <col min="13573" max="13573" width="12.375" style="3" customWidth="1"/>
    <col min="13574" max="13574" width="10.875" style="3" customWidth="1"/>
    <col min="13575" max="13575" width="11.375" style="3" customWidth="1"/>
    <col min="13576" max="13576" width="10.75" style="3" customWidth="1"/>
    <col min="13577" max="13577" width="9.25" style="3" customWidth="1"/>
    <col min="13578" max="13578" width="13.5" style="3" customWidth="1"/>
    <col min="13579" max="13579" width="5.375" style="3" customWidth="1"/>
    <col min="13580" max="13824" width="9" style="3"/>
    <col min="13825" max="13825" width="14.75" style="3" customWidth="1"/>
    <col min="13826" max="13826" width="26" style="3" customWidth="1"/>
    <col min="13827" max="13827" width="15.125" style="3" customWidth="1"/>
    <col min="13828" max="13828" width="15.375" style="3" customWidth="1"/>
    <col min="13829" max="13829" width="12.375" style="3" customWidth="1"/>
    <col min="13830" max="13830" width="10.875" style="3" customWidth="1"/>
    <col min="13831" max="13831" width="11.375" style="3" customWidth="1"/>
    <col min="13832" max="13832" width="10.75" style="3" customWidth="1"/>
    <col min="13833" max="13833" width="9.25" style="3" customWidth="1"/>
    <col min="13834" max="13834" width="13.5" style="3" customWidth="1"/>
    <col min="13835" max="13835" width="5.375" style="3" customWidth="1"/>
    <col min="13836" max="14080" width="9" style="3"/>
    <col min="14081" max="14081" width="14.75" style="3" customWidth="1"/>
    <col min="14082" max="14082" width="26" style="3" customWidth="1"/>
    <col min="14083" max="14083" width="15.125" style="3" customWidth="1"/>
    <col min="14084" max="14084" width="15.375" style="3" customWidth="1"/>
    <col min="14085" max="14085" width="12.375" style="3" customWidth="1"/>
    <col min="14086" max="14086" width="10.875" style="3" customWidth="1"/>
    <col min="14087" max="14087" width="11.375" style="3" customWidth="1"/>
    <col min="14088" max="14088" width="10.75" style="3" customWidth="1"/>
    <col min="14089" max="14089" width="9.25" style="3" customWidth="1"/>
    <col min="14090" max="14090" width="13.5" style="3" customWidth="1"/>
    <col min="14091" max="14091" width="5.375" style="3" customWidth="1"/>
    <col min="14092" max="14336" width="9" style="3"/>
    <col min="14337" max="14337" width="14.75" style="3" customWidth="1"/>
    <col min="14338" max="14338" width="26" style="3" customWidth="1"/>
    <col min="14339" max="14339" width="15.125" style="3" customWidth="1"/>
    <col min="14340" max="14340" width="15.375" style="3" customWidth="1"/>
    <col min="14341" max="14341" width="12.375" style="3" customWidth="1"/>
    <col min="14342" max="14342" width="10.875" style="3" customWidth="1"/>
    <col min="14343" max="14343" width="11.375" style="3" customWidth="1"/>
    <col min="14344" max="14344" width="10.75" style="3" customWidth="1"/>
    <col min="14345" max="14345" width="9.25" style="3" customWidth="1"/>
    <col min="14346" max="14346" width="13.5" style="3" customWidth="1"/>
    <col min="14347" max="14347" width="5.375" style="3" customWidth="1"/>
    <col min="14348" max="14592" width="9" style="3"/>
    <col min="14593" max="14593" width="14.75" style="3" customWidth="1"/>
    <col min="14594" max="14594" width="26" style="3" customWidth="1"/>
    <col min="14595" max="14595" width="15.125" style="3" customWidth="1"/>
    <col min="14596" max="14596" width="15.375" style="3" customWidth="1"/>
    <col min="14597" max="14597" width="12.375" style="3" customWidth="1"/>
    <col min="14598" max="14598" width="10.875" style="3" customWidth="1"/>
    <col min="14599" max="14599" width="11.375" style="3" customWidth="1"/>
    <col min="14600" max="14600" width="10.75" style="3" customWidth="1"/>
    <col min="14601" max="14601" width="9.25" style="3" customWidth="1"/>
    <col min="14602" max="14602" width="13.5" style="3" customWidth="1"/>
    <col min="14603" max="14603" width="5.375" style="3" customWidth="1"/>
    <col min="14604" max="14848" width="9" style="3"/>
    <col min="14849" max="14849" width="14.75" style="3" customWidth="1"/>
    <col min="14850" max="14850" width="26" style="3" customWidth="1"/>
    <col min="14851" max="14851" width="15.125" style="3" customWidth="1"/>
    <col min="14852" max="14852" width="15.375" style="3" customWidth="1"/>
    <col min="14853" max="14853" width="12.375" style="3" customWidth="1"/>
    <col min="14854" max="14854" width="10.875" style="3" customWidth="1"/>
    <col min="14855" max="14855" width="11.375" style="3" customWidth="1"/>
    <col min="14856" max="14856" width="10.75" style="3" customWidth="1"/>
    <col min="14857" max="14857" width="9.25" style="3" customWidth="1"/>
    <col min="14858" max="14858" width="13.5" style="3" customWidth="1"/>
    <col min="14859" max="14859" width="5.375" style="3" customWidth="1"/>
    <col min="14860" max="15104" width="9" style="3"/>
    <col min="15105" max="15105" width="14.75" style="3" customWidth="1"/>
    <col min="15106" max="15106" width="26" style="3" customWidth="1"/>
    <col min="15107" max="15107" width="15.125" style="3" customWidth="1"/>
    <col min="15108" max="15108" width="15.375" style="3" customWidth="1"/>
    <col min="15109" max="15109" width="12.375" style="3" customWidth="1"/>
    <col min="15110" max="15110" width="10.875" style="3" customWidth="1"/>
    <col min="15111" max="15111" width="11.375" style="3" customWidth="1"/>
    <col min="15112" max="15112" width="10.75" style="3" customWidth="1"/>
    <col min="15113" max="15113" width="9.25" style="3" customWidth="1"/>
    <col min="15114" max="15114" width="13.5" style="3" customWidth="1"/>
    <col min="15115" max="15115" width="5.375" style="3" customWidth="1"/>
    <col min="15116" max="15360" width="9" style="3"/>
    <col min="15361" max="15361" width="14.75" style="3" customWidth="1"/>
    <col min="15362" max="15362" width="26" style="3" customWidth="1"/>
    <col min="15363" max="15363" width="15.125" style="3" customWidth="1"/>
    <col min="15364" max="15364" width="15.375" style="3" customWidth="1"/>
    <col min="15365" max="15365" width="12.375" style="3" customWidth="1"/>
    <col min="15366" max="15366" width="10.875" style="3" customWidth="1"/>
    <col min="15367" max="15367" width="11.375" style="3" customWidth="1"/>
    <col min="15368" max="15368" width="10.75" style="3" customWidth="1"/>
    <col min="15369" max="15369" width="9.25" style="3" customWidth="1"/>
    <col min="15370" max="15370" width="13.5" style="3" customWidth="1"/>
    <col min="15371" max="15371" width="5.375" style="3" customWidth="1"/>
    <col min="15372" max="15616" width="9" style="3"/>
    <col min="15617" max="15617" width="14.75" style="3" customWidth="1"/>
    <col min="15618" max="15618" width="26" style="3" customWidth="1"/>
    <col min="15619" max="15619" width="15.125" style="3" customWidth="1"/>
    <col min="15620" max="15620" width="15.375" style="3" customWidth="1"/>
    <col min="15621" max="15621" width="12.375" style="3" customWidth="1"/>
    <col min="15622" max="15622" width="10.875" style="3" customWidth="1"/>
    <col min="15623" max="15623" width="11.375" style="3" customWidth="1"/>
    <col min="15624" max="15624" width="10.75" style="3" customWidth="1"/>
    <col min="15625" max="15625" width="9.25" style="3" customWidth="1"/>
    <col min="15626" max="15626" width="13.5" style="3" customWidth="1"/>
    <col min="15627" max="15627" width="5.375" style="3" customWidth="1"/>
    <col min="15628" max="15872" width="9" style="3"/>
    <col min="15873" max="15873" width="14.75" style="3" customWidth="1"/>
    <col min="15874" max="15874" width="26" style="3" customWidth="1"/>
    <col min="15875" max="15875" width="15.125" style="3" customWidth="1"/>
    <col min="15876" max="15876" width="15.375" style="3" customWidth="1"/>
    <col min="15877" max="15877" width="12.375" style="3" customWidth="1"/>
    <col min="15878" max="15878" width="10.875" style="3" customWidth="1"/>
    <col min="15879" max="15879" width="11.375" style="3" customWidth="1"/>
    <col min="15880" max="15880" width="10.75" style="3" customWidth="1"/>
    <col min="15881" max="15881" width="9.25" style="3" customWidth="1"/>
    <col min="15882" max="15882" width="13.5" style="3" customWidth="1"/>
    <col min="15883" max="15883" width="5.375" style="3" customWidth="1"/>
    <col min="15884" max="16128" width="9" style="3"/>
    <col min="16129" max="16129" width="14.75" style="3" customWidth="1"/>
    <col min="16130" max="16130" width="26" style="3" customWidth="1"/>
    <col min="16131" max="16131" width="15.125" style="3" customWidth="1"/>
    <col min="16132" max="16132" width="15.375" style="3" customWidth="1"/>
    <col min="16133" max="16133" width="12.375" style="3" customWidth="1"/>
    <col min="16134" max="16134" width="10.875" style="3" customWidth="1"/>
    <col min="16135" max="16135" width="11.375" style="3" customWidth="1"/>
    <col min="16136" max="16136" width="10.75" style="3" customWidth="1"/>
    <col min="16137" max="16137" width="9.25" style="3" customWidth="1"/>
    <col min="16138" max="16138" width="13.5" style="3" customWidth="1"/>
    <col min="16139" max="16139" width="5.375" style="3" customWidth="1"/>
    <col min="16140" max="16384" width="9" style="3"/>
  </cols>
  <sheetData>
    <row r="1" s="1" customFormat="1" ht="54" customHeight="1" spans="1:17">
      <c r="A1" s="5" t="s">
        <v>0</v>
      </c>
      <c r="B1" s="5"/>
      <c r="C1" s="5"/>
      <c r="D1" s="5"/>
      <c r="E1" s="5"/>
      <c r="F1" s="6"/>
      <c r="G1" s="5"/>
      <c r="H1" s="5"/>
      <c r="I1" s="5"/>
      <c r="J1" s="5"/>
      <c r="K1" s="5"/>
      <c r="L1" s="7"/>
      <c r="M1" s="7"/>
      <c r="N1" s="7"/>
      <c r="O1" s="7"/>
      <c r="P1" s="7"/>
      <c r="Q1" s="7"/>
    </row>
    <row r="2" s="1" customFormat="1" ht="44" customHeight="1" spans="1:17">
      <c r="A2" s="8" t="s">
        <v>1</v>
      </c>
      <c r="B2" s="8"/>
      <c r="C2" s="8"/>
      <c r="D2" s="8"/>
      <c r="E2" s="8"/>
      <c r="F2" s="9"/>
      <c r="G2" s="8"/>
      <c r="H2" s="8"/>
      <c r="I2" s="8"/>
      <c r="J2" s="8"/>
      <c r="K2" s="8"/>
      <c r="L2" s="10"/>
      <c r="M2" s="10"/>
      <c r="N2" s="10"/>
      <c r="O2" s="10"/>
      <c r="P2" s="10"/>
      <c r="Q2" s="10"/>
    </row>
    <row r="3" ht="15" spans="1:17">
      <c r="A3" s="11"/>
      <c r="B3" s="12"/>
      <c r="C3" s="12"/>
      <c r="D3" s="12"/>
      <c r="E3" s="12"/>
      <c r="F3" s="13"/>
      <c r="G3" s="12"/>
      <c r="H3" s="11"/>
      <c r="I3" s="11"/>
      <c r="J3" s="11"/>
      <c r="K3" s="12"/>
      <c r="L3" s="14"/>
      <c r="M3" s="14"/>
      <c r="N3" s="14"/>
      <c r="O3" s="14"/>
      <c r="P3" s="14"/>
      <c r="Q3" s="15"/>
    </row>
    <row r="4" ht="19.5" spans="1:17">
      <c r="A4" s="16"/>
      <c r="B4" s="17"/>
      <c r="C4" s="17"/>
      <c r="E4" s="17"/>
      <c r="F4" s="18"/>
      <c r="G4" s="17"/>
      <c r="H4" s="17"/>
      <c r="I4" s="17"/>
      <c r="J4" s="17"/>
      <c r="K4" s="17"/>
      <c r="L4" s="17"/>
      <c r="M4" s="15"/>
      <c r="N4" s="15"/>
      <c r="O4" s="15"/>
      <c r="P4" s="15"/>
      <c r="Q4" s="15"/>
    </row>
    <row r="5" spans="1:17">
      <c r="B5" s="17"/>
      <c r="C5" s="17"/>
      <c r="D5" s="19"/>
      <c r="E5" s="17"/>
      <c r="F5" s="18"/>
      <c r="G5" s="17"/>
      <c r="H5" s="17"/>
      <c r="I5" s="17"/>
      <c r="J5" s="17"/>
      <c r="K5" s="17"/>
      <c r="L5" s="17"/>
    </row>
    <row r="6" ht="27" spans="1:17">
      <c r="A6" s="20" t="s">
        <v>88</v>
      </c>
      <c r="B6" s="20"/>
      <c r="C6" s="20"/>
      <c r="D6" s="20"/>
      <c r="E6" s="20"/>
      <c r="F6" s="21"/>
      <c r="G6" s="20"/>
      <c r="H6" s="20"/>
      <c r="I6" s="20"/>
      <c r="J6" s="20"/>
      <c r="K6" s="20"/>
      <c r="L6" s="22"/>
      <c r="M6" s="23"/>
    </row>
    <row r="7" ht="27" spans="1:17">
      <c r="A7" s="20"/>
      <c r="B7" s="24"/>
      <c r="C7" s="24"/>
      <c r="D7" s="24"/>
      <c r="E7" s="24"/>
      <c r="F7" s="25"/>
      <c r="G7" s="24"/>
      <c r="H7" s="24"/>
      <c r="I7" s="24"/>
      <c r="J7" s="24"/>
      <c r="K7" s="26"/>
      <c r="L7" s="26"/>
      <c r="M7" s="23"/>
    </row>
    <row r="8" ht="20.25" spans="1:17">
      <c r="A8" s="27"/>
      <c r="B8" s="28"/>
      <c r="C8" s="28"/>
      <c r="D8" s="28"/>
      <c r="E8" s="28"/>
      <c r="F8" s="29"/>
      <c r="G8" s="23"/>
      <c r="H8" s="23"/>
      <c r="I8" s="23"/>
      <c r="J8" s="23"/>
      <c r="K8" s="23"/>
      <c r="L8" s="23"/>
      <c r="M8" s="23"/>
    </row>
    <row r="9" ht="21" spans="1:17">
      <c r="A9" s="30" t="s">
        <v>3</v>
      </c>
      <c r="B9" s="31" t="s">
        <v>4</v>
      </c>
      <c r="C9" s="32"/>
      <c r="D9" s="33"/>
      <c r="E9" s="34"/>
      <c r="F9" s="35" t="s">
        <v>89</v>
      </c>
      <c r="G9" s="35"/>
      <c r="H9" s="35"/>
      <c r="I9" s="35"/>
      <c r="J9" s="36" t="s">
        <v>6</v>
      </c>
      <c r="K9" s="36"/>
      <c r="M9" s="23"/>
    </row>
    <row r="10" ht="21" spans="1:17">
      <c r="A10" s="30"/>
      <c r="B10" s="37" t="s">
        <v>7</v>
      </c>
      <c r="C10" s="37"/>
      <c r="D10" s="33"/>
      <c r="E10" s="34"/>
      <c r="F10" s="35" t="s">
        <v>90</v>
      </c>
      <c r="G10" s="35"/>
      <c r="H10" s="35"/>
      <c r="I10" s="35"/>
      <c r="J10" s="38" t="s">
        <v>91</v>
      </c>
      <c r="K10" s="39"/>
      <c r="M10" s="23"/>
    </row>
    <row r="11" ht="21" spans="1:17">
      <c r="A11" s="30"/>
      <c r="B11" s="40" t="s">
        <v>9</v>
      </c>
      <c r="C11" s="31"/>
      <c r="D11" s="33"/>
      <c r="F11" s="35" t="s">
        <v>92</v>
      </c>
      <c r="G11" s="35"/>
      <c r="H11" s="35"/>
      <c r="I11" s="35"/>
      <c r="J11" s="38" t="s">
        <v>93</v>
      </c>
      <c r="K11" s="39"/>
      <c r="M11" s="23"/>
    </row>
    <row r="12" ht="21" spans="1:17">
      <c r="A12" s="30"/>
      <c r="B12" s="41"/>
      <c r="C12" s="41"/>
      <c r="D12" s="42"/>
      <c r="E12" s="34"/>
      <c r="F12" s="35" t="s">
        <v>94</v>
      </c>
      <c r="G12" s="35"/>
      <c r="H12" s="35"/>
      <c r="I12" s="35"/>
      <c r="J12" s="43">
        <v>276831972</v>
      </c>
      <c r="K12" s="43"/>
      <c r="L12" s="44"/>
      <c r="M12" s="23"/>
    </row>
    <row r="13" ht="27" customHeight="1" spans="1:17">
      <c r="A13" s="34" t="s">
        <v>10</v>
      </c>
      <c r="B13" s="31" t="s">
        <v>11</v>
      </c>
      <c r="C13" s="32"/>
      <c r="D13" s="33"/>
      <c r="F13" s="35" t="s">
        <v>95</v>
      </c>
      <c r="G13" s="35"/>
      <c r="H13" s="35"/>
      <c r="I13" s="35"/>
      <c r="J13" s="43" t="s">
        <v>96</v>
      </c>
      <c r="K13" s="43"/>
      <c r="L13" s="15"/>
      <c r="M13" s="23"/>
    </row>
    <row r="14" ht="27" customHeight="1" spans="1:17">
      <c r="A14" s="34"/>
      <c r="B14" s="37" t="s">
        <v>7</v>
      </c>
      <c r="C14" s="37"/>
      <c r="D14" s="33"/>
      <c r="F14" s="35" t="s">
        <v>97</v>
      </c>
      <c r="G14" s="35"/>
      <c r="H14" s="35"/>
      <c r="I14" s="35"/>
      <c r="J14" s="45">
        <v>46289</v>
      </c>
      <c r="K14" s="45"/>
      <c r="L14" s="15"/>
      <c r="M14" s="23"/>
    </row>
    <row r="15" ht="27" customHeight="1" spans="1:17">
      <c r="A15" s="34"/>
      <c r="B15" s="40" t="s">
        <v>9</v>
      </c>
      <c r="C15" s="31"/>
      <c r="D15" s="33"/>
      <c r="E15" s="34"/>
      <c r="F15" s="35" t="s">
        <v>98</v>
      </c>
      <c r="G15" s="35"/>
      <c r="H15" s="35"/>
      <c r="I15" s="35"/>
      <c r="J15" s="45">
        <v>46292</v>
      </c>
      <c r="K15" s="45"/>
      <c r="L15" s="34"/>
      <c r="M15" s="23"/>
    </row>
    <row r="16" ht="27" customHeight="1" spans="1:17">
      <c r="A16" s="34"/>
      <c r="B16" s="46"/>
      <c r="C16" s="47"/>
      <c r="D16" s="48"/>
      <c r="E16" s="34"/>
      <c r="F16" s="35"/>
      <c r="G16" s="35"/>
      <c r="H16" s="35"/>
      <c r="I16" s="35"/>
      <c r="J16" s="49"/>
      <c r="K16" s="49"/>
      <c r="L16" s="34"/>
      <c r="M16" s="23"/>
    </row>
    <row r="17" ht="27" customHeight="1" spans="1:19">
      <c r="A17" s="34" t="s">
        <v>99</v>
      </c>
      <c r="B17" s="50" t="s">
        <v>100</v>
      </c>
      <c r="C17" s="31"/>
      <c r="D17" s="48"/>
      <c r="E17" s="34"/>
      <c r="J17" s="15"/>
      <c r="K17" s="15"/>
      <c r="L17" s="34"/>
      <c r="M17" s="23"/>
    </row>
    <row r="18" ht="20.25" spans="1:19">
      <c r="A18" s="34"/>
      <c r="B18" s="51"/>
      <c r="C18" s="51"/>
      <c r="D18" s="52"/>
      <c r="E18" s="23"/>
      <c r="F18" s="53"/>
      <c r="G18" s="34"/>
      <c r="H18" s="27"/>
      <c r="I18" s="27"/>
      <c r="J18" s="27"/>
      <c r="K18" s="52"/>
      <c r="L18" s="54"/>
      <c r="M18" s="23"/>
    </row>
    <row r="19" ht="21" customHeight="1" spans="1:19">
      <c r="A19" s="55" t="s">
        <v>12</v>
      </c>
      <c r="B19" s="55" t="s">
        <v>13</v>
      </c>
      <c r="C19" s="55" t="s">
        <v>14</v>
      </c>
      <c r="D19" s="56" t="s">
        <v>15</v>
      </c>
      <c r="E19" s="57" t="s">
        <v>16</v>
      </c>
      <c r="F19" s="58" t="s">
        <v>17</v>
      </c>
      <c r="G19" s="56" t="s">
        <v>101</v>
      </c>
      <c r="H19" s="56" t="s">
        <v>19</v>
      </c>
      <c r="I19" s="56" t="s">
        <v>102</v>
      </c>
      <c r="J19" s="56" t="s">
        <v>19</v>
      </c>
      <c r="K19" s="56" t="s">
        <v>20</v>
      </c>
      <c r="L19" s="23"/>
    </row>
    <row r="20" ht="20.25" spans="1:19">
      <c r="A20" s="55"/>
      <c r="B20" s="55"/>
      <c r="C20" s="55"/>
      <c r="D20" s="56" t="s">
        <v>21</v>
      </c>
      <c r="E20" s="57"/>
      <c r="F20" s="58" t="s">
        <v>22</v>
      </c>
      <c r="G20" s="56" t="s">
        <v>103</v>
      </c>
      <c r="H20" s="56" t="s">
        <v>101</v>
      </c>
      <c r="I20" s="56" t="s">
        <v>103</v>
      </c>
      <c r="J20" s="56" t="s">
        <v>102</v>
      </c>
      <c r="K20" s="56" t="s">
        <v>25</v>
      </c>
      <c r="L20" s="23"/>
    </row>
    <row r="21" ht="21" customHeight="1" spans="1:19">
      <c r="A21" s="55"/>
      <c r="B21" s="55"/>
      <c r="C21" s="55"/>
      <c r="D21" s="56"/>
      <c r="E21" s="57"/>
      <c r="F21" s="59"/>
      <c r="G21" s="56"/>
      <c r="H21" s="56" t="s">
        <v>103</v>
      </c>
      <c r="I21" s="56"/>
      <c r="J21" s="56" t="s">
        <v>103</v>
      </c>
      <c r="K21" s="56" t="s">
        <v>26</v>
      </c>
      <c r="L21" s="23"/>
    </row>
    <row r="22" s="2" customFormat="1" ht="64" customHeight="1" spans="1:19">
      <c r="A22" s="60" t="s">
        <v>27</v>
      </c>
      <c r="B22" s="61" t="s">
        <v>28</v>
      </c>
      <c r="C22" s="61" t="s">
        <v>29</v>
      </c>
      <c r="D22" s="62">
        <v>88</v>
      </c>
      <c r="E22" s="63">
        <v>0.079625</v>
      </c>
      <c r="F22" s="64">
        <v>1.75175</v>
      </c>
      <c r="G22" s="64">
        <v>13.104</v>
      </c>
      <c r="H22" s="64">
        <v>288.288</v>
      </c>
      <c r="I22" s="64">
        <v>10.324</v>
      </c>
      <c r="J22" s="65">
        <v>227.128</v>
      </c>
      <c r="K22" s="61">
        <f>D22/4</f>
        <v>22</v>
      </c>
      <c r="L22" s="66"/>
      <c r="M22" s="67"/>
      <c r="O22" s="68"/>
      <c r="Q22" s="68"/>
      <c r="R22" s="68"/>
      <c r="S22" s="68"/>
    </row>
    <row r="23" s="2" customFormat="1" ht="71" customHeight="1" spans="1:19">
      <c r="A23" s="60" t="s">
        <v>30</v>
      </c>
      <c r="B23" s="61" t="s">
        <v>31</v>
      </c>
      <c r="C23" s="61" t="s">
        <v>29</v>
      </c>
      <c r="D23" s="62">
        <v>176</v>
      </c>
      <c r="E23" s="63">
        <v>0.079625</v>
      </c>
      <c r="F23" s="64">
        <v>3.5035</v>
      </c>
      <c r="G23" s="64">
        <v>13.65</v>
      </c>
      <c r="H23" s="64">
        <v>600.6</v>
      </c>
      <c r="I23" s="64">
        <v>10.87</v>
      </c>
      <c r="J23" s="65">
        <v>478.28</v>
      </c>
      <c r="K23" s="61">
        <f t="shared" ref="K23:K46" si="0">D23/4</f>
        <v>44</v>
      </c>
      <c r="L23" s="66"/>
      <c r="M23" s="67"/>
      <c r="O23" s="68"/>
      <c r="Q23" s="68"/>
      <c r="R23" s="68"/>
      <c r="S23" s="68"/>
    </row>
    <row r="24" s="2" customFormat="1" ht="62" customHeight="1" spans="1:19">
      <c r="A24" s="60" t="s">
        <v>32</v>
      </c>
      <c r="B24" s="61" t="s">
        <v>33</v>
      </c>
      <c r="C24" s="61" t="s">
        <v>29</v>
      </c>
      <c r="D24" s="62">
        <v>36</v>
      </c>
      <c r="E24" s="63">
        <v>0.079625</v>
      </c>
      <c r="F24" s="64">
        <v>0.716625</v>
      </c>
      <c r="G24" s="64">
        <v>13.104</v>
      </c>
      <c r="H24" s="64">
        <v>117.936</v>
      </c>
      <c r="I24" s="64">
        <v>10.324</v>
      </c>
      <c r="J24" s="65">
        <v>92.916</v>
      </c>
      <c r="K24" s="61">
        <f t="shared" si="0"/>
        <v>9</v>
      </c>
      <c r="L24" s="66"/>
      <c r="M24" s="67"/>
      <c r="O24" s="68"/>
      <c r="Q24" s="68"/>
      <c r="R24" s="68"/>
      <c r="S24" s="68"/>
    </row>
    <row r="25" s="2" customFormat="1" ht="62" customHeight="1" spans="1:19">
      <c r="A25" s="60" t="s">
        <v>34</v>
      </c>
      <c r="B25" s="61" t="s">
        <v>35</v>
      </c>
      <c r="C25" s="61" t="s">
        <v>29</v>
      </c>
      <c r="D25" s="62">
        <v>176</v>
      </c>
      <c r="E25" s="63">
        <v>0.079625</v>
      </c>
      <c r="F25" s="64">
        <v>3.5035</v>
      </c>
      <c r="G25" s="64">
        <v>13.65</v>
      </c>
      <c r="H25" s="64">
        <v>600.6</v>
      </c>
      <c r="I25" s="64">
        <v>10.87</v>
      </c>
      <c r="J25" s="65">
        <v>478.28</v>
      </c>
      <c r="K25" s="61">
        <f t="shared" si="0"/>
        <v>44</v>
      </c>
      <c r="L25" s="66"/>
      <c r="M25" s="67"/>
      <c r="O25" s="68"/>
      <c r="Q25" s="68"/>
      <c r="R25" s="68"/>
      <c r="S25" s="68"/>
    </row>
    <row r="26" s="2" customFormat="1" ht="62" customHeight="1" spans="1:19">
      <c r="A26" s="60" t="s">
        <v>36</v>
      </c>
      <c r="B26" s="61" t="s">
        <v>37</v>
      </c>
      <c r="C26" s="61" t="s">
        <v>29</v>
      </c>
      <c r="D26" s="62">
        <v>32</v>
      </c>
      <c r="E26" s="63">
        <v>0.079625</v>
      </c>
      <c r="F26" s="64">
        <v>0.637</v>
      </c>
      <c r="G26" s="64">
        <v>13.65</v>
      </c>
      <c r="H26" s="64">
        <v>109.2</v>
      </c>
      <c r="I26" s="64">
        <v>10.87</v>
      </c>
      <c r="J26" s="65">
        <v>86.96</v>
      </c>
      <c r="K26" s="61">
        <f t="shared" si="0"/>
        <v>8</v>
      </c>
      <c r="L26" s="66"/>
      <c r="M26" s="67"/>
      <c r="O26" s="68"/>
      <c r="Q26" s="68"/>
      <c r="R26" s="68"/>
      <c r="S26" s="68"/>
    </row>
    <row r="27" s="2" customFormat="1" ht="62" customHeight="1" spans="1:19">
      <c r="A27" s="60" t="s">
        <v>38</v>
      </c>
      <c r="B27" s="61" t="s">
        <v>39</v>
      </c>
      <c r="C27" s="61" t="s">
        <v>40</v>
      </c>
      <c r="D27" s="62">
        <v>120</v>
      </c>
      <c r="E27" s="63">
        <v>0.120185</v>
      </c>
      <c r="F27" s="64">
        <v>3.60555</v>
      </c>
      <c r="G27" s="64">
        <v>17.325</v>
      </c>
      <c r="H27" s="64">
        <v>519.75</v>
      </c>
      <c r="I27" s="64">
        <v>14.22468</v>
      </c>
      <c r="J27" s="65">
        <v>426.7404</v>
      </c>
      <c r="K27" s="61">
        <f t="shared" si="0"/>
        <v>30</v>
      </c>
      <c r="L27" s="66"/>
      <c r="M27" s="67"/>
      <c r="O27" s="68"/>
      <c r="Q27" s="68"/>
      <c r="R27" s="68"/>
      <c r="S27" s="68"/>
    </row>
    <row r="28" s="2" customFormat="1" ht="62" customHeight="1" spans="1:19">
      <c r="A28" s="60" t="s">
        <v>41</v>
      </c>
      <c r="B28" s="61" t="s">
        <v>42</v>
      </c>
      <c r="C28" s="61" t="s">
        <v>40</v>
      </c>
      <c r="D28" s="62">
        <v>144</v>
      </c>
      <c r="E28" s="63">
        <v>0.120185</v>
      </c>
      <c r="F28" s="64">
        <v>4.32666</v>
      </c>
      <c r="G28" s="64">
        <v>16.632</v>
      </c>
      <c r="H28" s="64">
        <v>598.752</v>
      </c>
      <c r="I28" s="64">
        <v>13.53168</v>
      </c>
      <c r="J28" s="65">
        <v>487.14048</v>
      </c>
      <c r="K28" s="61">
        <f t="shared" si="0"/>
        <v>36</v>
      </c>
      <c r="L28" s="66"/>
      <c r="M28" s="67"/>
      <c r="O28" s="68"/>
      <c r="Q28" s="68"/>
      <c r="R28" s="68"/>
      <c r="S28" s="68"/>
    </row>
    <row r="29" s="2" customFormat="1" ht="62" customHeight="1" spans="1:19">
      <c r="A29" s="60" t="s">
        <v>43</v>
      </c>
      <c r="B29" s="61" t="s">
        <v>44</v>
      </c>
      <c r="C29" s="61" t="s">
        <v>40</v>
      </c>
      <c r="D29" s="62">
        <v>72</v>
      </c>
      <c r="E29" s="63">
        <v>0.120185</v>
      </c>
      <c r="F29" s="64">
        <v>2.16333</v>
      </c>
      <c r="G29" s="64">
        <v>17.325</v>
      </c>
      <c r="H29" s="64">
        <v>311.85</v>
      </c>
      <c r="I29" s="64">
        <v>14.22468</v>
      </c>
      <c r="J29" s="65">
        <v>256.04424</v>
      </c>
      <c r="K29" s="61">
        <f t="shared" si="0"/>
        <v>18</v>
      </c>
      <c r="L29" s="66"/>
      <c r="M29" s="67"/>
      <c r="O29" s="68"/>
      <c r="Q29" s="68"/>
      <c r="R29" s="68"/>
      <c r="S29" s="68"/>
    </row>
    <row r="30" s="2" customFormat="1" ht="62" customHeight="1" spans="1:19">
      <c r="A30" s="60" t="s">
        <v>45</v>
      </c>
      <c r="B30" s="61" t="s">
        <v>46</v>
      </c>
      <c r="C30" s="61" t="s">
        <v>40</v>
      </c>
      <c r="D30" s="62">
        <v>44</v>
      </c>
      <c r="E30" s="63">
        <v>0.120185</v>
      </c>
      <c r="F30" s="64">
        <v>1.322035</v>
      </c>
      <c r="G30" s="64">
        <v>17.325</v>
      </c>
      <c r="H30" s="64">
        <v>190.575</v>
      </c>
      <c r="I30" s="64">
        <v>14.22468</v>
      </c>
      <c r="J30" s="65">
        <v>156.47148</v>
      </c>
      <c r="K30" s="61">
        <f t="shared" si="0"/>
        <v>11</v>
      </c>
      <c r="L30" s="66"/>
      <c r="M30" s="67"/>
      <c r="O30" s="68"/>
      <c r="Q30" s="68"/>
      <c r="R30" s="68"/>
      <c r="S30" s="68"/>
    </row>
    <row r="31" s="2" customFormat="1" ht="62" customHeight="1" spans="1:19">
      <c r="A31" s="60" t="s">
        <v>47</v>
      </c>
      <c r="B31" s="61" t="s">
        <v>48</v>
      </c>
      <c r="C31" s="61" t="s">
        <v>40</v>
      </c>
      <c r="D31" s="62">
        <v>88</v>
      </c>
      <c r="E31" s="63">
        <v>0.120185</v>
      </c>
      <c r="F31" s="64">
        <v>2.64407</v>
      </c>
      <c r="G31" s="64">
        <v>16.632</v>
      </c>
      <c r="H31" s="64">
        <v>365.904</v>
      </c>
      <c r="I31" s="64">
        <v>13.53168</v>
      </c>
      <c r="J31" s="65">
        <v>297.69696</v>
      </c>
      <c r="K31" s="61">
        <f t="shared" si="0"/>
        <v>22</v>
      </c>
      <c r="L31" s="66"/>
      <c r="M31" s="67"/>
      <c r="O31" s="68"/>
      <c r="Q31" s="68"/>
      <c r="R31" s="68"/>
      <c r="S31" s="68"/>
    </row>
    <row r="32" s="2" customFormat="1" ht="62" customHeight="1" spans="1:19">
      <c r="A32" s="60" t="s">
        <v>49</v>
      </c>
      <c r="B32" s="61" t="s">
        <v>50</v>
      </c>
      <c r="C32" s="61" t="s">
        <v>40</v>
      </c>
      <c r="D32" s="62">
        <v>328</v>
      </c>
      <c r="E32" s="63">
        <v>0.120185</v>
      </c>
      <c r="F32" s="64">
        <v>9.85517</v>
      </c>
      <c r="G32" s="64">
        <v>14.112</v>
      </c>
      <c r="H32" s="64">
        <v>1157.184</v>
      </c>
      <c r="I32" s="64">
        <v>11.01168</v>
      </c>
      <c r="J32" s="65">
        <v>902.95776</v>
      </c>
      <c r="K32" s="61">
        <f t="shared" si="0"/>
        <v>82</v>
      </c>
      <c r="L32" s="66"/>
      <c r="M32" s="67"/>
      <c r="O32" s="68"/>
      <c r="Q32" s="68"/>
      <c r="R32" s="68"/>
      <c r="S32" s="68"/>
    </row>
    <row r="33" s="2" customFormat="1" ht="62" customHeight="1" spans="1:19">
      <c r="A33" s="60" t="s">
        <v>51</v>
      </c>
      <c r="B33" s="61" t="s">
        <v>52</v>
      </c>
      <c r="C33" s="61" t="s">
        <v>40</v>
      </c>
      <c r="D33" s="62">
        <v>176</v>
      </c>
      <c r="E33" s="63">
        <v>0.120185</v>
      </c>
      <c r="F33" s="64">
        <v>5.28814</v>
      </c>
      <c r="G33" s="64">
        <v>14.7</v>
      </c>
      <c r="H33" s="64">
        <v>646.8</v>
      </c>
      <c r="I33" s="64">
        <v>11.59968</v>
      </c>
      <c r="J33" s="65">
        <v>510.38592</v>
      </c>
      <c r="K33" s="61">
        <f t="shared" si="0"/>
        <v>44</v>
      </c>
      <c r="L33" s="66"/>
      <c r="M33" s="67"/>
      <c r="O33" s="68"/>
      <c r="Q33" s="68"/>
      <c r="R33" s="68"/>
      <c r="S33" s="68"/>
    </row>
    <row r="34" s="2" customFormat="1" ht="62" customHeight="1" spans="1:19">
      <c r="A34" s="60" t="s">
        <v>53</v>
      </c>
      <c r="B34" s="61" t="s">
        <v>54</v>
      </c>
      <c r="C34" s="61" t="s">
        <v>40</v>
      </c>
      <c r="D34" s="62">
        <v>148</v>
      </c>
      <c r="E34" s="63">
        <v>0.120185</v>
      </c>
      <c r="F34" s="64">
        <v>4.446845</v>
      </c>
      <c r="G34" s="64">
        <v>14.7</v>
      </c>
      <c r="H34" s="64">
        <v>543.9</v>
      </c>
      <c r="I34" s="64">
        <v>11.59968</v>
      </c>
      <c r="J34" s="65">
        <v>429.18816</v>
      </c>
      <c r="K34" s="61">
        <f t="shared" si="0"/>
        <v>37</v>
      </c>
      <c r="L34" s="66"/>
      <c r="M34" s="67"/>
      <c r="O34" s="68"/>
      <c r="Q34" s="68"/>
      <c r="R34" s="68"/>
      <c r="S34" s="68"/>
    </row>
    <row r="35" s="2" customFormat="1" ht="62" customHeight="1" spans="1:19">
      <c r="A35" s="60" t="s">
        <v>55</v>
      </c>
      <c r="B35" s="61" t="s">
        <v>56</v>
      </c>
      <c r="C35" s="61" t="s">
        <v>40</v>
      </c>
      <c r="D35" s="62">
        <v>144</v>
      </c>
      <c r="E35" s="63">
        <v>0.120185</v>
      </c>
      <c r="F35" s="64">
        <v>4.32666</v>
      </c>
      <c r="G35" s="64">
        <v>14.7</v>
      </c>
      <c r="H35" s="64">
        <v>529.2</v>
      </c>
      <c r="I35" s="64">
        <v>11.59968</v>
      </c>
      <c r="J35" s="65">
        <v>417.58848</v>
      </c>
      <c r="K35" s="61">
        <f t="shared" si="0"/>
        <v>36</v>
      </c>
      <c r="L35" s="66"/>
      <c r="M35" s="67"/>
      <c r="O35" s="68"/>
      <c r="Q35" s="68"/>
      <c r="R35" s="68"/>
      <c r="S35" s="68"/>
    </row>
    <row r="36" s="2" customFormat="1" ht="62" customHeight="1" spans="1:19">
      <c r="A36" s="60" t="s">
        <v>57</v>
      </c>
      <c r="B36" s="61" t="s">
        <v>58</v>
      </c>
      <c r="C36" s="61" t="s">
        <v>40</v>
      </c>
      <c r="D36" s="62">
        <v>208</v>
      </c>
      <c r="E36" s="63">
        <v>0.120185</v>
      </c>
      <c r="F36" s="64">
        <v>6.24962</v>
      </c>
      <c r="G36" s="64">
        <v>14.112</v>
      </c>
      <c r="H36" s="64">
        <v>733.824</v>
      </c>
      <c r="I36" s="64">
        <v>11.01168</v>
      </c>
      <c r="J36" s="65">
        <v>572.60736</v>
      </c>
      <c r="K36" s="61">
        <f t="shared" si="0"/>
        <v>52</v>
      </c>
      <c r="L36" s="66"/>
      <c r="M36" s="67"/>
      <c r="O36" s="68"/>
      <c r="Q36" s="68"/>
      <c r="R36" s="68"/>
      <c r="S36" s="68"/>
    </row>
    <row r="37" s="2" customFormat="1" ht="62" customHeight="1" spans="1:19">
      <c r="A37" s="60" t="s">
        <v>59</v>
      </c>
      <c r="B37" s="61" t="s">
        <v>60</v>
      </c>
      <c r="C37" s="61" t="s">
        <v>29</v>
      </c>
      <c r="D37" s="62">
        <v>36</v>
      </c>
      <c r="E37" s="63">
        <v>0.079625</v>
      </c>
      <c r="F37" s="64">
        <v>0.716625</v>
      </c>
      <c r="G37" s="64">
        <v>10.584</v>
      </c>
      <c r="H37" s="64">
        <v>95.256</v>
      </c>
      <c r="I37" s="64">
        <v>7.804</v>
      </c>
      <c r="J37" s="65">
        <v>70.236</v>
      </c>
      <c r="K37" s="61">
        <f t="shared" si="0"/>
        <v>9</v>
      </c>
      <c r="L37" s="66"/>
      <c r="M37" s="67"/>
      <c r="O37" s="68"/>
      <c r="Q37" s="68"/>
      <c r="R37" s="68"/>
      <c r="S37" s="68"/>
    </row>
    <row r="38" s="2" customFormat="1" ht="62" customHeight="1" spans="1:19">
      <c r="A38" s="60" t="s">
        <v>61</v>
      </c>
      <c r="B38" s="61" t="s">
        <v>62</v>
      </c>
      <c r="C38" s="61" t="s">
        <v>29</v>
      </c>
      <c r="D38" s="62">
        <v>60</v>
      </c>
      <c r="E38" s="63">
        <v>0.079625</v>
      </c>
      <c r="F38" s="64">
        <v>1.194375</v>
      </c>
      <c r="G38" s="64">
        <v>11.025</v>
      </c>
      <c r="H38" s="64">
        <v>165.375</v>
      </c>
      <c r="I38" s="64">
        <v>8.245</v>
      </c>
      <c r="J38" s="65">
        <v>123.675</v>
      </c>
      <c r="K38" s="61">
        <f t="shared" si="0"/>
        <v>15</v>
      </c>
      <c r="L38" s="66"/>
      <c r="M38" s="67"/>
      <c r="O38" s="68"/>
      <c r="Q38" s="68"/>
      <c r="R38" s="68"/>
      <c r="S38" s="68"/>
    </row>
    <row r="39" s="2" customFormat="1" ht="62" customHeight="1" spans="1:19">
      <c r="A39" s="60" t="s">
        <v>63</v>
      </c>
      <c r="B39" s="61" t="s">
        <v>64</v>
      </c>
      <c r="C39" s="61" t="s">
        <v>29</v>
      </c>
      <c r="D39" s="62">
        <v>56</v>
      </c>
      <c r="E39" s="63">
        <v>0.079625</v>
      </c>
      <c r="F39" s="64">
        <v>1.11475</v>
      </c>
      <c r="G39" s="64">
        <v>10.584</v>
      </c>
      <c r="H39" s="64">
        <v>148.176</v>
      </c>
      <c r="I39" s="64">
        <v>7.804</v>
      </c>
      <c r="J39" s="65">
        <v>109.256</v>
      </c>
      <c r="K39" s="61">
        <f t="shared" si="0"/>
        <v>14</v>
      </c>
      <c r="L39" s="66"/>
      <c r="M39" s="67"/>
      <c r="O39" s="68"/>
      <c r="Q39" s="68"/>
      <c r="R39" s="68"/>
      <c r="S39" s="68"/>
    </row>
    <row r="40" s="2" customFormat="1" ht="62" customHeight="1" spans="1:19">
      <c r="A40" s="60" t="s">
        <v>65</v>
      </c>
      <c r="B40" s="61" t="s">
        <v>66</v>
      </c>
      <c r="C40" s="61" t="s">
        <v>29</v>
      </c>
      <c r="D40" s="62">
        <v>40</v>
      </c>
      <c r="E40" s="63">
        <v>0.079625</v>
      </c>
      <c r="F40" s="64">
        <v>0.79625</v>
      </c>
      <c r="G40" s="64">
        <v>11.025</v>
      </c>
      <c r="H40" s="64">
        <v>110.25</v>
      </c>
      <c r="I40" s="64">
        <v>8.245</v>
      </c>
      <c r="J40" s="65">
        <v>82.45</v>
      </c>
      <c r="K40" s="61">
        <f t="shared" si="0"/>
        <v>10</v>
      </c>
      <c r="L40" s="66"/>
      <c r="M40" s="67"/>
      <c r="O40" s="68"/>
      <c r="Q40" s="68"/>
      <c r="R40" s="68"/>
      <c r="S40" s="68"/>
    </row>
    <row r="41" s="2" customFormat="1" ht="62" customHeight="1" spans="1:19">
      <c r="A41" s="60" t="s">
        <v>67</v>
      </c>
      <c r="B41" s="61" t="s">
        <v>68</v>
      </c>
      <c r="C41" s="61" t="s">
        <v>29</v>
      </c>
      <c r="D41" s="62">
        <v>36</v>
      </c>
      <c r="E41" s="63">
        <v>0.079625</v>
      </c>
      <c r="F41" s="64">
        <v>0.716625</v>
      </c>
      <c r="G41" s="64">
        <v>13.65</v>
      </c>
      <c r="H41" s="64">
        <v>122.85</v>
      </c>
      <c r="I41" s="64">
        <v>10.87</v>
      </c>
      <c r="J41" s="65">
        <v>97.83</v>
      </c>
      <c r="K41" s="61">
        <f t="shared" si="0"/>
        <v>9</v>
      </c>
      <c r="L41" s="66"/>
      <c r="M41" s="67"/>
      <c r="O41" s="68"/>
      <c r="Q41" s="68"/>
      <c r="R41" s="68"/>
      <c r="S41" s="68"/>
    </row>
    <row r="42" s="2" customFormat="1" ht="62" customHeight="1" spans="1:19">
      <c r="A42" s="60" t="s">
        <v>69</v>
      </c>
      <c r="B42" s="61" t="s">
        <v>70</v>
      </c>
      <c r="C42" s="61" t="s">
        <v>29</v>
      </c>
      <c r="D42" s="62">
        <v>60</v>
      </c>
      <c r="E42" s="63">
        <v>0.079625</v>
      </c>
      <c r="F42" s="64">
        <v>1.194375</v>
      </c>
      <c r="G42" s="64">
        <v>13.65</v>
      </c>
      <c r="H42" s="64">
        <v>204.75</v>
      </c>
      <c r="I42" s="64">
        <v>10.87</v>
      </c>
      <c r="J42" s="65">
        <v>163.05</v>
      </c>
      <c r="K42" s="61">
        <f t="shared" si="0"/>
        <v>15</v>
      </c>
      <c r="L42" s="66"/>
      <c r="M42" s="67"/>
      <c r="O42" s="68"/>
      <c r="Q42" s="68"/>
      <c r="R42" s="68"/>
      <c r="S42" s="68"/>
    </row>
    <row r="43" s="2" customFormat="1" ht="62" customHeight="1" spans="1:19">
      <c r="A43" s="60" t="s">
        <v>71</v>
      </c>
      <c r="B43" s="61" t="s">
        <v>72</v>
      </c>
      <c r="C43" s="61" t="s">
        <v>40</v>
      </c>
      <c r="D43" s="62">
        <v>36</v>
      </c>
      <c r="E43" s="63">
        <v>0.120185</v>
      </c>
      <c r="F43" s="64">
        <v>1.081665</v>
      </c>
      <c r="G43" s="64">
        <v>14.7</v>
      </c>
      <c r="H43" s="64">
        <v>132.3</v>
      </c>
      <c r="I43" s="64">
        <v>11.59968</v>
      </c>
      <c r="J43" s="65">
        <v>104.39712</v>
      </c>
      <c r="K43" s="61">
        <f t="shared" si="0"/>
        <v>9</v>
      </c>
      <c r="L43" s="66"/>
      <c r="M43" s="67"/>
      <c r="O43" s="68"/>
      <c r="Q43" s="68"/>
      <c r="R43" s="68"/>
      <c r="S43" s="68"/>
    </row>
    <row r="44" s="2" customFormat="1" ht="62" customHeight="1" spans="1:19">
      <c r="A44" s="60" t="s">
        <v>73</v>
      </c>
      <c r="B44" s="61" t="s">
        <v>74</v>
      </c>
      <c r="C44" s="61" t="s">
        <v>40</v>
      </c>
      <c r="D44" s="62">
        <v>24</v>
      </c>
      <c r="E44" s="63">
        <v>0.120185</v>
      </c>
      <c r="F44" s="64">
        <v>0.72111</v>
      </c>
      <c r="G44" s="64">
        <v>14.7</v>
      </c>
      <c r="H44" s="64">
        <v>88.2</v>
      </c>
      <c r="I44" s="64">
        <v>11.59968</v>
      </c>
      <c r="J44" s="65">
        <v>69.59808</v>
      </c>
      <c r="K44" s="61">
        <f t="shared" si="0"/>
        <v>6</v>
      </c>
      <c r="L44" s="66"/>
      <c r="M44" s="67"/>
      <c r="O44" s="68"/>
      <c r="Q44" s="68"/>
      <c r="R44" s="68"/>
      <c r="S44" s="68"/>
    </row>
    <row r="45" s="2" customFormat="1" ht="62" customHeight="1" spans="1:19">
      <c r="A45" s="60" t="s">
        <v>75</v>
      </c>
      <c r="B45" s="61" t="s">
        <v>76</v>
      </c>
      <c r="C45" s="61" t="s">
        <v>29</v>
      </c>
      <c r="D45" s="62">
        <v>60</v>
      </c>
      <c r="E45" s="63">
        <v>0.079625</v>
      </c>
      <c r="F45" s="64">
        <v>1.194375</v>
      </c>
      <c r="G45" s="64">
        <v>11.025</v>
      </c>
      <c r="H45" s="64">
        <v>165.375</v>
      </c>
      <c r="I45" s="64">
        <v>8.245</v>
      </c>
      <c r="J45" s="65">
        <v>123.675</v>
      </c>
      <c r="K45" s="61">
        <f t="shared" si="0"/>
        <v>15</v>
      </c>
      <c r="L45" s="66"/>
      <c r="M45" s="67"/>
      <c r="O45" s="68"/>
      <c r="Q45" s="68"/>
      <c r="R45" s="68"/>
      <c r="S45" s="68"/>
    </row>
    <row r="46" s="2" customFormat="1" ht="62" customHeight="1" spans="1:19">
      <c r="A46" s="60" t="s">
        <v>77</v>
      </c>
      <c r="B46" s="61" t="s">
        <v>78</v>
      </c>
      <c r="C46" s="61" t="s">
        <v>79</v>
      </c>
      <c r="D46" s="62">
        <v>120</v>
      </c>
      <c r="E46" s="63">
        <v>0.0892255</v>
      </c>
      <c r="F46" s="64">
        <v>1.78451</v>
      </c>
      <c r="G46" s="64">
        <v>13.125</v>
      </c>
      <c r="H46" s="64">
        <v>262.5</v>
      </c>
      <c r="I46" s="64">
        <v>10.07067</v>
      </c>
      <c r="J46" s="65">
        <v>201.4134</v>
      </c>
      <c r="K46" s="61">
        <f>D46/6</f>
        <v>20</v>
      </c>
      <c r="L46" s="69" t="s">
        <v>80</v>
      </c>
      <c r="M46" s="67"/>
      <c r="O46" s="68"/>
      <c r="Q46" s="68"/>
      <c r="R46" s="68"/>
      <c r="S46" s="68"/>
    </row>
    <row r="47" ht="50.1" customHeight="1" spans="1:19">
      <c r="A47" s="70"/>
      <c r="B47" s="71"/>
      <c r="C47" s="72" t="s">
        <v>17</v>
      </c>
      <c r="D47" s="73">
        <f>SUM(D22:D46)</f>
        <v>2508</v>
      </c>
      <c r="E47" s="74"/>
      <c r="F47" s="75">
        <f>SUM(F22:F46)</f>
        <v>64.855115</v>
      </c>
      <c r="G47" s="76"/>
      <c r="H47" s="75">
        <f>SUM(H22:H46)</f>
        <v>8809.395</v>
      </c>
      <c r="I47" s="77"/>
      <c r="J47" s="75">
        <f>SUM(J22:J46)</f>
        <v>6965.96584</v>
      </c>
      <c r="K47" s="78">
        <f>SUM(K22:K46)</f>
        <v>617</v>
      </c>
      <c r="L47" s="23"/>
    </row>
    <row r="48" ht="44" customHeight="1" spans="1:19">
      <c r="A48" s="79"/>
      <c r="B48" s="80"/>
      <c r="C48" s="80"/>
      <c r="D48" s="81"/>
      <c r="E48" s="82"/>
      <c r="F48" s="83"/>
      <c r="G48" s="82"/>
      <c r="H48" s="83"/>
      <c r="I48" s="84"/>
      <c r="J48" s="83"/>
      <c r="K48" s="84"/>
      <c r="L48" s="85"/>
      <c r="M48" s="86"/>
      <c r="N48" s="86"/>
      <c r="O48" s="87"/>
      <c r="P48" s="23"/>
      <c r="Q48" s="23"/>
      <c r="R48" s="23"/>
    </row>
    <row r="49" s="3" customFormat="1" ht="25" customHeight="1" spans="1:18">
      <c r="A49" s="88"/>
      <c r="B49" s="89"/>
      <c r="C49" s="80"/>
      <c r="D49" s="81"/>
      <c r="E49" s="82"/>
      <c r="F49" s="83"/>
      <c r="G49" s="82"/>
      <c r="H49" s="84"/>
      <c r="I49" s="84"/>
      <c r="J49" s="84"/>
      <c r="K49" s="84"/>
      <c r="L49" s="85"/>
      <c r="M49" s="86"/>
      <c r="N49" s="86"/>
      <c r="O49" s="87"/>
      <c r="P49" s="23"/>
      <c r="Q49" s="23"/>
      <c r="R49" s="23"/>
    </row>
    <row r="50" ht="25" customHeight="1" spans="1:18">
      <c r="A50" s="90" t="s">
        <v>104</v>
      </c>
      <c r="B50" s="34"/>
      <c r="C50" s="91"/>
      <c r="D50" s="92"/>
      <c r="E50" s="93"/>
      <c r="F50" s="93"/>
      <c r="G50" s="92"/>
      <c r="H50" s="94"/>
      <c r="I50" s="92"/>
    </row>
    <row r="51" ht="25" customHeight="1"/>
    <row r="52" ht="25" customHeight="1" spans="1:18">
      <c r="A52" s="95"/>
      <c r="B52" s="14"/>
    </row>
    <row r="53" ht="25" customHeight="1" spans="1:18">
      <c r="A53" s="95"/>
      <c r="B53" s="14"/>
    </row>
    <row r="54" ht="25" customHeight="1" spans="1:18">
      <c r="A54" s="95"/>
      <c r="B54" s="14"/>
    </row>
  </sheetData>
  <sheetProtection formatCells="0" insertHyperlinks="0" autoFilter="0"/>
  <mergeCells count="31">
    <mergeCell ref="A1:K1"/>
    <mergeCell ref="A2:K2"/>
    <mergeCell ref="A6:K6"/>
    <mergeCell ref="B8:D8"/>
    <mergeCell ref="B9:C9"/>
    <mergeCell ref="F9:I9"/>
    <mergeCell ref="J9:K9"/>
    <mergeCell ref="F10:I10"/>
    <mergeCell ref="J10:K10"/>
    <mergeCell ref="B11:C11"/>
    <mergeCell ref="F11:I11"/>
    <mergeCell ref="J11:K11"/>
    <mergeCell ref="B12:C12"/>
    <mergeCell ref="F12:I12"/>
    <mergeCell ref="J12:K12"/>
    <mergeCell ref="B13:C13"/>
    <mergeCell ref="F13:I13"/>
    <mergeCell ref="J13:K13"/>
    <mergeCell ref="F14:I14"/>
    <mergeCell ref="J14:K14"/>
    <mergeCell ref="B15:C15"/>
    <mergeCell ref="F15:I15"/>
    <mergeCell ref="J15:K15"/>
    <mergeCell ref="F16:I16"/>
    <mergeCell ref="J16:K16"/>
    <mergeCell ref="B17:C17"/>
    <mergeCell ref="B18:D18"/>
    <mergeCell ref="A19:A21"/>
    <mergeCell ref="B19:B21"/>
    <mergeCell ref="C19:C21"/>
    <mergeCell ref="E19:E21"/>
  </mergeCells>
  <pageMargins left="0.314583333333333" right="0.590277777777778" top="0.747916666666667" bottom="0.747916666666667" header="0.313888888888889" footer="0.313888888888889"/>
  <pageSetup paperSize="1" scale="50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WWO_dingtalk_20210622162822-68863c3782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packing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玺堡家居</cp:lastModifiedBy>
  <dcterms:created xsi:type="dcterms:W3CDTF">2018-12-21T08:49:00Z</dcterms:created>
  <cp:lastPrinted>2019-05-09T19:09:00Z</cp:lastPrinted>
  <dcterms:modified xsi:type="dcterms:W3CDTF">2026-09-24T06:08:26Z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FF6AE9910A794A8D84433A78843F52A0</vt:lpwstr>
  </property>
  <property fmtid="{D5CDD505-2E9C-101B-9397-08002B2CF9AE}" pid="4" name="CalculationRule">
    <vt:i4>0</vt:i4>
  </property>
</Properties>
</file>