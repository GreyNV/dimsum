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aob\WPSDrive\1300320252\WPS云盘\Workspace\Martin\T568 NB-xm926\"/>
    </mc:Choice>
  </mc:AlternateContent>
  <bookViews>
    <workbookView windowWidth="18350" windowHeight="6880"/>
  </bookViews>
  <sheets>
    <sheet name="detail" sheetId="9" r:id="rId1"/>
  </sheets>
  <externalReferences>
    <externalReference r:id="rId2"/>
  </externalReferences>
  <definedNames>
    <definedName name="ATTRIBUTEPTDMAP">[1]attributePTDMap!$A$1:$B$113</definedName>
    <definedName name="item_type_">'[1]Dropdown Lists'!$A$4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<sst xmlns="http://schemas.openxmlformats.org/spreadsheetml/2006/main" count="320" uniqueCount="102">
  <si>
    <t>PO#</t>
  </si>
  <si>
    <t>Item</t>
  </si>
  <si>
    <t>Sku</t>
  </si>
  <si>
    <t>Size</t>
  </si>
  <si>
    <t>Color</t>
  </si>
  <si>
    <t xml:space="preserve">Boxes </t>
  </si>
  <si>
    <t>Units</t>
  </si>
  <si>
    <t>Unit/Case</t>
  </si>
  <si>
    <t>Price</t>
  </si>
  <si>
    <t>Value</t>
  </si>
  <si>
    <t>CBM/CASE</t>
  </si>
  <si>
    <t>CBM</t>
  </si>
  <si>
    <t>T568</t>
  </si>
  <si>
    <t xml:space="preserve">NB 1800 Sheets </t>
  </si>
  <si>
    <t>Nestl-18-3LN-CK-iceblu</t>
  </si>
  <si>
    <t>Cal King</t>
  </si>
  <si>
    <t>Ice Blue</t>
  </si>
  <si>
    <t>Nestl-18-3LN-CK-linen-FBA</t>
  </si>
  <si>
    <t>Linen</t>
  </si>
  <si>
    <t>Nestl-18-3LN-CK-LAV-R3-fba</t>
  </si>
  <si>
    <t>Lavender</t>
  </si>
  <si>
    <t>Nestl-18-3LN-CK-calmblu</t>
  </si>
  <si>
    <t>Calm Blue</t>
  </si>
  <si>
    <t>Nestl-18-3LN-CK-Teal-fba</t>
  </si>
  <si>
    <t>Teal</t>
  </si>
  <si>
    <t>Nestl-18-3LN-CK-fstgrn-FBA</t>
  </si>
  <si>
    <t>Forest Green</t>
  </si>
  <si>
    <t>Nestl-18-3LN-F-iceblu</t>
  </si>
  <si>
    <t>Full</t>
  </si>
  <si>
    <t>Nestl-18-3LN-F-linen-FBA</t>
  </si>
  <si>
    <t>Nestl-18-3LN-F-LAV-fba</t>
  </si>
  <si>
    <t>Nestl-18-3LN-F-calmblu</t>
  </si>
  <si>
    <t>Nestl-18-3LN-F-Teal-fba</t>
  </si>
  <si>
    <t>Nestl-18-3LN-F-fstgrn-FBA</t>
  </si>
  <si>
    <t>Nestl-18-3LN-FXL-calmblu</t>
  </si>
  <si>
    <t>Full XL</t>
  </si>
  <si>
    <t>Nestl-18-3LN-FXL-Teal-fba</t>
  </si>
  <si>
    <t>Nestl-18-3LN-K-iceblu</t>
  </si>
  <si>
    <t>King</t>
  </si>
  <si>
    <t>Nestl-18-3LN-K-LAV-fba</t>
  </si>
  <si>
    <t>Nestl-18-3LN-K-calmblu</t>
  </si>
  <si>
    <t>Nestl-18-3LN-K-Teal-fba</t>
  </si>
  <si>
    <t>Nestl-18-3LN-Q-linen-FBA</t>
  </si>
  <si>
    <t>Queen</t>
  </si>
  <si>
    <t>Nestl-18-3LN-Q-iceblu</t>
  </si>
  <si>
    <t>Nestl-18-3LN-Q-LAV-fba</t>
  </si>
  <si>
    <t>Nestl-18-3LN-Q-calmblu</t>
  </si>
  <si>
    <t>Nestl-18-3LN-Q-Teal-fba</t>
  </si>
  <si>
    <t>Nestl-18-3LN-Q-GRY-fba</t>
  </si>
  <si>
    <t>Dark Gray</t>
  </si>
  <si>
    <t>Nestl-18-3LN-Q-BLK-fba</t>
  </si>
  <si>
    <t>Black</t>
  </si>
  <si>
    <t>Nestl-18-3LN-Q-fstgrn-FBA</t>
  </si>
  <si>
    <t>Nestl-18-3LN-RV-lav-fba</t>
  </si>
  <si>
    <t>RV</t>
  </si>
  <si>
    <t>Nestl-18-3LN-RV-calmblu</t>
  </si>
  <si>
    <t>NB-Sht-RVQ-HntrGrn</t>
  </si>
  <si>
    <t>Hunter Green</t>
  </si>
  <si>
    <t>Nestl-18-3LN-SK-linen-FBA</t>
  </si>
  <si>
    <t>Split King</t>
  </si>
  <si>
    <t>Nestl-18-3LN-SK-calmblu</t>
  </si>
  <si>
    <t>Nestl-18-3LN-SK-BLK-fba</t>
  </si>
  <si>
    <t>Nestl-18-3LN-SK-HunterGreen-fba</t>
  </si>
  <si>
    <t>Nestl-18-3LN-SK-fstgrn-FBA</t>
  </si>
  <si>
    <t>T543</t>
  </si>
  <si>
    <t>NB Washed Duvet Covers</t>
  </si>
  <si>
    <t>NB-DC-WAS-CK-LIGHTSGE</t>
  </si>
  <si>
    <t>Light Sage</t>
  </si>
  <si>
    <t>NB-DC-WAS-CK-TPSND</t>
  </si>
  <si>
    <t>Taupe Sand</t>
  </si>
  <si>
    <t>NB-DC-WAS-CK-SGGRN</t>
  </si>
  <si>
    <t>Sage Green</t>
  </si>
  <si>
    <t>NB-DC-WAS-CK-GREYNEW</t>
  </si>
  <si>
    <t>Grey</t>
  </si>
  <si>
    <t>NB-DC-WAS-CK-RUST</t>
  </si>
  <si>
    <t>Rust</t>
  </si>
  <si>
    <t>NB-DC-WAS-CK-STNBLU</t>
  </si>
  <si>
    <t>Stone Blue</t>
  </si>
  <si>
    <t>NB-DC-WAS-CK-OLVGRN</t>
  </si>
  <si>
    <t>Olive Green</t>
  </si>
  <si>
    <t>NB-DC-WAS-CK-CHK</t>
  </si>
  <si>
    <t>Chocolate Brown</t>
  </si>
  <si>
    <t>T547</t>
  </si>
  <si>
    <t>NB-DC-WAS-CK-WHITE</t>
  </si>
  <si>
    <t>White</t>
  </si>
  <si>
    <t>NB-DC-WAS-CK-GREY</t>
  </si>
  <si>
    <t>Charcoal Gray</t>
  </si>
  <si>
    <t>NB-DC-WAS-CK-GRYLVNDR</t>
  </si>
  <si>
    <t>Grey Lavender</t>
  </si>
  <si>
    <t>T539</t>
  </si>
  <si>
    <t>NB-DC-WAS-CK-ICEBLU</t>
  </si>
  <si>
    <t>NB-DC-WAS-CK-BRG</t>
  </si>
  <si>
    <t>Burgundy Red</t>
  </si>
  <si>
    <t>T556</t>
  </si>
  <si>
    <t>FABRIC CONTENT: 100% POLYESTER</t>
  </si>
  <si>
    <t>PRICE TERM: FOB SHANGHAI</t>
  </si>
  <si>
    <t>CONTAINER NO:BMOU4956188</t>
  </si>
  <si>
    <t>NAME OF SHIPPING LINE: JUMBO LOGISTICS INC</t>
  </si>
  <si>
    <t>VESSEL NAME:GRETE MAERSK / 639E</t>
  </si>
  <si>
    <t>DESTINATION:USEWR)NEWARK,NJ,US</t>
  </si>
  <si>
    <t>ETD: 9-26-2026</t>
  </si>
  <si>
    <t>ETA: 10-26-2026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</si>
</sst>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 * #,##0_ ;_ * \-#,##0_ ;_ * &quot;-&quot;??_ ;_ @_ "/>
    <numFmt numFmtId="178" formatCode="_ * #,##0.00000_ ;_ * \-#,##0.00000_ ;_ * &quot;-&quot;??.00000_ ;_ @_ "/>
  </numFmts>
  <fonts count="30">
    <font>
      <sz val="11"/>
      <color indexed="8"/>
      <name val="宋体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9" fillId="0" borderId="0"/>
    <xf numFmtId="0" fontId="2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2" applyFont="1" applyFill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0" applyNumberFormat="1" applyFont="1" applyFill="1" applyAlignment="1">
      <alignment horizontal="left" vertical="center"/>
    </xf>
    <xf numFmtId="43" fontId="2" fillId="0" borderId="0" xfId="0" applyNumberFormat="1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7" fontId="1" fillId="0" borderId="1" xfId="1" applyNumberFormat="1" applyFont="1" applyBorder="1" applyAlignment="1">
      <alignment horizontal="left" vertical="center"/>
    </xf>
    <xf numFmtId="176" fontId="1" fillId="0" borderId="1" xfId="2" applyFont="1" applyFill="1" applyBorder="1" applyAlignment="1">
      <alignment horizontal="left" vertical="center"/>
    </xf>
    <xf numFmtId="178" fontId="1" fillId="0" borderId="1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76" fontId="4" fillId="0" borderId="1" xfId="2" applyFont="1" applyFill="1" applyBorder="1" applyAlignment="1">
      <alignment horizontal="left"/>
    </xf>
    <xf numFmtId="176" fontId="2" fillId="0" borderId="1" xfId="2" applyFont="1" applyFill="1" applyBorder="1" applyAlignment="1">
      <alignment horizontal="left" vertical="center"/>
    </xf>
    <xf numFmtId="178" fontId="5" fillId="0" borderId="1" xfId="0" applyNumberFormat="1" applyFont="1" applyFill="1" applyBorder="1" applyAlignment="1">
      <alignment horizontal="left"/>
    </xf>
    <xf numFmtId="43" fontId="2" fillId="0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78" fontId="2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77" fontId="1" fillId="0" borderId="0" xfId="1" applyNumberFormat="1" applyFont="1" applyAlignment="1">
      <alignment horizontal="left" vertical="center"/>
    </xf>
    <xf numFmtId="43" fontId="1" fillId="0" borderId="0" xfId="2" applyNumberFormat="1" applyFont="1" applyFill="1" applyAlignment="1">
      <alignment horizontal="left" vertical="center"/>
    </xf>
    <xf numFmtId="176" fontId="1" fillId="0" borderId="0" xfId="2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  <cellStyle name="百分比 2" xfId="51"/>
    <cellStyle name="常规 10" xfId="52"/>
    <cellStyle name="常规 11" xfId="53"/>
    <cellStyle name="常规 12" xfId="54"/>
    <cellStyle name="常规 2" xfId="55"/>
    <cellStyle name="常规 3" xfId="56"/>
    <cellStyle name="常规 3 2" xfId="57"/>
    <cellStyle name="常规 3 3" xfId="58"/>
    <cellStyle name="常规 4" xfId="59"/>
    <cellStyle name="常规 5" xfId="60"/>
    <cellStyle name="常规 6" xfId="61"/>
    <cellStyle name="常规 7" xfId="62"/>
    <cellStyle name="常规 8" xfId="63"/>
    <cellStyle name="常规 9" xfId="64"/>
    <cellStyle name="千位分隔 2" xfId="65"/>
    <cellStyle name="千位分隔 2 2" xfId="66"/>
    <cellStyle name="千位分隔 3" xfId="67"/>
    <cellStyle name="千位分隔 4" xfId="68"/>
    <cellStyle name="千位分隔 5" xfId="69"/>
    <cellStyle name="千位分隔 6" xfId="70"/>
    <cellStyle name="千位分隔 7" xfId="7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cons"/>
      <sheetName val="Instructions"/>
      <sheetName val="Images"/>
      <sheetName val="Data Definitions"/>
      <sheetName val="Template"/>
      <sheetName val="International URLs"/>
      <sheetName val="International Settings"/>
      <sheetName val="DropdownSizer"/>
      <sheetName val="Valid Values"/>
      <sheetName val="Browse Data"/>
      <sheetName val="International Translations"/>
      <sheetName val="Data Validation"/>
      <sheetName val="International Data"/>
      <sheetName val="Example"/>
      <sheetName val="Dropdown Lists"/>
      <sheetName val="attributePTD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71"/>
  <sheetViews>
    <sheetView tabSelected="1" zoomScale="85" zoomScaleNormal="85" topLeftCell="A57" workbookViewId="0">
      <selection activeCell="E70" sqref="E70"/>
    </sheetView>
  </sheetViews>
  <sheetFormatPr defaultColWidth="11.9090909090909" defaultRowHeight="14"/>
  <cols>
    <col min="1" max="1" width="5.81818181818182" style="3" customWidth="1"/>
    <col min="2" max="2" width="24.5454545454545" style="2" customWidth="1"/>
    <col min="3" max="3" width="32.2727272727273" style="3" customWidth="1"/>
    <col min="4" max="4" width="9.54545454545454" style="3" customWidth="1"/>
    <col min="5" max="5" width="16.0909090909091" style="4" customWidth="1"/>
    <col min="6" max="7" width="7.18181818181818" style="3" customWidth="1"/>
    <col min="8" max="8" width="11.2727272727273" style="5" customWidth="1"/>
    <col min="9" max="9" width="7.54545454545455" style="4" customWidth="1"/>
    <col min="10" max="10" width="12" style="4" customWidth="1"/>
    <col min="11" max="11" width="13.5454545454545" style="6" customWidth="1"/>
    <col min="12" max="12" width="7.27272727272727" style="7" customWidth="1"/>
    <col min="13" max="16384" width="11.9090909090909" style="3"/>
  </cols>
  <sheetData>
    <row r="1" s="1" customFormat="1" spans="1:12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3" t="s">
        <v>11</v>
      </c>
    </row>
    <row r="2" ht="15.5" spans="1:12">
      <c r="A2" s="14" t="s">
        <v>12</v>
      </c>
      <c r="B2" s="15" t="s">
        <v>13</v>
      </c>
      <c r="C2" s="16" t="s">
        <v>14</v>
      </c>
      <c r="D2" s="16" t="s">
        <v>15</v>
      </c>
      <c r="E2" s="16" t="s">
        <v>16</v>
      </c>
      <c r="F2" s="17">
        <v>11</v>
      </c>
      <c r="G2" s="16">
        <f t="shared" ref="G2:G42" si="0">F2*H2</f>
        <v>110</v>
      </c>
      <c r="H2" s="16">
        <v>10</v>
      </c>
      <c r="I2" s="18">
        <v>5.565009107968</v>
      </c>
      <c r="J2" s="19">
        <f>I2*G2</f>
        <v>612.15100187648</v>
      </c>
      <c r="K2" s="20">
        <v>0.07344</v>
      </c>
      <c r="L2" s="21">
        <f>K2*F2</f>
        <v>0.80784</v>
      </c>
    </row>
    <row r="3" ht="15.5" spans="1:12">
      <c r="A3" s="14" t="s">
        <v>12</v>
      </c>
      <c r="B3" s="15" t="s">
        <v>13</v>
      </c>
      <c r="C3" s="16" t="s">
        <v>17</v>
      </c>
      <c r="D3" s="16" t="s">
        <v>15</v>
      </c>
      <c r="E3" s="16" t="s">
        <v>18</v>
      </c>
      <c r="F3" s="17">
        <v>12</v>
      </c>
      <c r="G3" s="16">
        <f t="shared" si="0"/>
        <v>120</v>
      </c>
      <c r="H3" s="16">
        <v>10</v>
      </c>
      <c r="I3" s="18">
        <v>5.565009107968</v>
      </c>
      <c r="J3" s="19">
        <f t="shared" ref="J3:J35" si="1">I3*G3</f>
        <v>667.80109295616</v>
      </c>
      <c r="K3" s="20">
        <v>0.07344</v>
      </c>
      <c r="L3" s="21">
        <f t="shared" ref="L3:L35" si="2">K3*F3</f>
        <v>0.88128</v>
      </c>
    </row>
    <row r="4" ht="15.5" spans="1:12">
      <c r="A4" s="14" t="s">
        <v>12</v>
      </c>
      <c r="B4" s="15" t="s">
        <v>13</v>
      </c>
      <c r="C4" s="16" t="s">
        <v>19</v>
      </c>
      <c r="D4" s="16" t="s">
        <v>15</v>
      </c>
      <c r="E4" s="16" t="s">
        <v>20</v>
      </c>
      <c r="F4" s="17">
        <v>11</v>
      </c>
      <c r="G4" s="16">
        <f t="shared" si="0"/>
        <v>110</v>
      </c>
      <c r="H4" s="16">
        <v>10</v>
      </c>
      <c r="I4" s="18">
        <v>5.565009107968</v>
      </c>
      <c r="J4" s="19">
        <f t="shared" si="1"/>
        <v>612.15100187648</v>
      </c>
      <c r="K4" s="20">
        <v>0.07344</v>
      </c>
      <c r="L4" s="21">
        <f t="shared" si="2"/>
        <v>0.80784</v>
      </c>
    </row>
    <row r="5" ht="15.5" spans="1:12">
      <c r="A5" s="14" t="s">
        <v>12</v>
      </c>
      <c r="B5" s="15" t="s">
        <v>13</v>
      </c>
      <c r="C5" s="16" t="s">
        <v>21</v>
      </c>
      <c r="D5" s="16" t="s">
        <v>15</v>
      </c>
      <c r="E5" s="16" t="s">
        <v>22</v>
      </c>
      <c r="F5" s="17">
        <v>18</v>
      </c>
      <c r="G5" s="16">
        <f t="shared" si="0"/>
        <v>180</v>
      </c>
      <c r="H5" s="16">
        <v>10</v>
      </c>
      <c r="I5" s="18">
        <v>5.565009107968</v>
      </c>
      <c r="J5" s="19">
        <f t="shared" si="1"/>
        <v>1001.70163943424</v>
      </c>
      <c r="K5" s="20">
        <v>0.07344</v>
      </c>
      <c r="L5" s="21">
        <f t="shared" si="2"/>
        <v>1.32192</v>
      </c>
    </row>
    <row r="6" ht="15.5" spans="1:12">
      <c r="A6" s="14" t="s">
        <v>12</v>
      </c>
      <c r="B6" s="15" t="s">
        <v>13</v>
      </c>
      <c r="C6" s="16" t="s">
        <v>23</v>
      </c>
      <c r="D6" s="16" t="s">
        <v>15</v>
      </c>
      <c r="E6" s="16" t="s">
        <v>24</v>
      </c>
      <c r="F6" s="17">
        <v>17</v>
      </c>
      <c r="G6" s="16">
        <f t="shared" si="0"/>
        <v>170</v>
      </c>
      <c r="H6" s="16">
        <v>10</v>
      </c>
      <c r="I6" s="18">
        <v>5.565009107968</v>
      </c>
      <c r="J6" s="19">
        <f t="shared" si="1"/>
        <v>946.05154835456</v>
      </c>
      <c r="K6" s="20">
        <v>0.07344</v>
      </c>
      <c r="L6" s="21">
        <f t="shared" si="2"/>
        <v>1.24848</v>
      </c>
    </row>
    <row r="7" ht="15.5" spans="1:12">
      <c r="A7" s="14" t="s">
        <v>12</v>
      </c>
      <c r="B7" s="15" t="s">
        <v>13</v>
      </c>
      <c r="C7" s="16" t="s">
        <v>25</v>
      </c>
      <c r="D7" s="16" t="s">
        <v>15</v>
      </c>
      <c r="E7" s="16" t="s">
        <v>26</v>
      </c>
      <c r="F7" s="17">
        <v>6</v>
      </c>
      <c r="G7" s="16">
        <f t="shared" si="0"/>
        <v>60</v>
      </c>
      <c r="H7" s="16">
        <v>10</v>
      </c>
      <c r="I7" s="18">
        <v>5.565009107968</v>
      </c>
      <c r="J7" s="19">
        <f t="shared" si="1"/>
        <v>333.90054647808</v>
      </c>
      <c r="K7" s="20">
        <v>0.07344</v>
      </c>
      <c r="L7" s="21">
        <f t="shared" si="2"/>
        <v>0.44064</v>
      </c>
    </row>
    <row r="8" ht="15.5" spans="1:12">
      <c r="A8" s="14" t="s">
        <v>12</v>
      </c>
      <c r="B8" s="15" t="s">
        <v>13</v>
      </c>
      <c r="C8" s="22" t="s">
        <v>27</v>
      </c>
      <c r="D8" s="22" t="s">
        <v>28</v>
      </c>
      <c r="E8" s="22" t="s">
        <v>16</v>
      </c>
      <c r="F8" s="23">
        <v>21</v>
      </c>
      <c r="G8" s="22">
        <f t="shared" si="0"/>
        <v>252</v>
      </c>
      <c r="H8" s="22">
        <v>12</v>
      </c>
      <c r="I8" s="18">
        <v>4.48491222784</v>
      </c>
      <c r="J8" s="19">
        <f t="shared" si="1"/>
        <v>1130.19788141568</v>
      </c>
      <c r="K8" s="20">
        <v>0.0765</v>
      </c>
      <c r="L8" s="21">
        <f t="shared" si="2"/>
        <v>1.6065</v>
      </c>
    </row>
    <row r="9" ht="15.5" spans="1:12">
      <c r="A9" s="14" t="s">
        <v>12</v>
      </c>
      <c r="B9" s="15" t="s">
        <v>13</v>
      </c>
      <c r="C9" s="22" t="s">
        <v>29</v>
      </c>
      <c r="D9" s="22" t="s">
        <v>28</v>
      </c>
      <c r="E9" s="22" t="s">
        <v>18</v>
      </c>
      <c r="F9" s="23">
        <v>25</v>
      </c>
      <c r="G9" s="22">
        <f t="shared" si="0"/>
        <v>300</v>
      </c>
      <c r="H9" s="22">
        <v>12</v>
      </c>
      <c r="I9" s="18">
        <v>4.48491222784</v>
      </c>
      <c r="J9" s="19">
        <f t="shared" si="1"/>
        <v>1345.473668352</v>
      </c>
      <c r="K9" s="20">
        <v>0.0765</v>
      </c>
      <c r="L9" s="21">
        <f t="shared" si="2"/>
        <v>1.9125</v>
      </c>
    </row>
    <row r="10" ht="15.5" spans="1:12">
      <c r="A10" s="14" t="s">
        <v>12</v>
      </c>
      <c r="B10" s="15" t="s">
        <v>13</v>
      </c>
      <c r="C10" s="22" t="s">
        <v>30</v>
      </c>
      <c r="D10" s="22" t="s">
        <v>28</v>
      </c>
      <c r="E10" s="22" t="s">
        <v>20</v>
      </c>
      <c r="F10" s="23">
        <v>26</v>
      </c>
      <c r="G10" s="22">
        <f t="shared" si="0"/>
        <v>312</v>
      </c>
      <c r="H10" s="22">
        <v>12</v>
      </c>
      <c r="I10" s="18">
        <v>4.48491222784</v>
      </c>
      <c r="J10" s="19">
        <f t="shared" si="1"/>
        <v>1399.29261508608</v>
      </c>
      <c r="K10" s="20">
        <v>0.0765</v>
      </c>
      <c r="L10" s="21">
        <f t="shared" si="2"/>
        <v>1.989</v>
      </c>
    </row>
    <row r="11" ht="15.5" spans="1:12">
      <c r="A11" s="14" t="s">
        <v>12</v>
      </c>
      <c r="B11" s="15" t="s">
        <v>13</v>
      </c>
      <c r="C11" s="22" t="s">
        <v>31</v>
      </c>
      <c r="D11" s="22" t="s">
        <v>28</v>
      </c>
      <c r="E11" s="22" t="s">
        <v>22</v>
      </c>
      <c r="F11" s="23">
        <v>14</v>
      </c>
      <c r="G11" s="22">
        <f t="shared" si="0"/>
        <v>168</v>
      </c>
      <c r="H11" s="22">
        <v>12</v>
      </c>
      <c r="I11" s="18">
        <v>4.48491222784</v>
      </c>
      <c r="J11" s="19">
        <f t="shared" si="1"/>
        <v>753.46525427712</v>
      </c>
      <c r="K11" s="20">
        <v>0.0765</v>
      </c>
      <c r="L11" s="21">
        <f t="shared" si="2"/>
        <v>1.071</v>
      </c>
    </row>
    <row r="12" ht="15.5" spans="1:12">
      <c r="A12" s="14" t="s">
        <v>12</v>
      </c>
      <c r="B12" s="15" t="s">
        <v>13</v>
      </c>
      <c r="C12" s="22" t="s">
        <v>32</v>
      </c>
      <c r="D12" s="22" t="s">
        <v>28</v>
      </c>
      <c r="E12" s="22" t="s">
        <v>24</v>
      </c>
      <c r="F12" s="23">
        <v>15</v>
      </c>
      <c r="G12" s="22">
        <f t="shared" si="0"/>
        <v>180</v>
      </c>
      <c r="H12" s="22">
        <v>12</v>
      </c>
      <c r="I12" s="18">
        <v>4.48491222784</v>
      </c>
      <c r="J12" s="19">
        <f t="shared" si="1"/>
        <v>807.2842010112</v>
      </c>
      <c r="K12" s="20">
        <v>0.0765</v>
      </c>
      <c r="L12" s="21">
        <f t="shared" si="2"/>
        <v>1.1475</v>
      </c>
    </row>
    <row r="13" ht="15.5" spans="1:12">
      <c r="A13" s="14" t="s">
        <v>12</v>
      </c>
      <c r="B13" s="15" t="s">
        <v>13</v>
      </c>
      <c r="C13" s="22" t="s">
        <v>33</v>
      </c>
      <c r="D13" s="22" t="s">
        <v>28</v>
      </c>
      <c r="E13" s="22" t="s">
        <v>26</v>
      </c>
      <c r="F13" s="23">
        <v>8</v>
      </c>
      <c r="G13" s="22">
        <f t="shared" si="0"/>
        <v>96</v>
      </c>
      <c r="H13" s="22">
        <v>12</v>
      </c>
      <c r="I13" s="18">
        <v>4.48491222784</v>
      </c>
      <c r="J13" s="19">
        <f t="shared" si="1"/>
        <v>430.55157387264</v>
      </c>
      <c r="K13" s="20">
        <v>0.0765</v>
      </c>
      <c r="L13" s="21">
        <f t="shared" si="2"/>
        <v>0.612</v>
      </c>
    </row>
    <row r="14" ht="15.5" spans="1:12">
      <c r="A14" s="14" t="s">
        <v>12</v>
      </c>
      <c r="B14" s="15" t="s">
        <v>13</v>
      </c>
      <c r="C14" s="24" t="s">
        <v>34</v>
      </c>
      <c r="D14" s="24" t="s">
        <v>35</v>
      </c>
      <c r="E14" s="24" t="s">
        <v>22</v>
      </c>
      <c r="F14" s="25">
        <v>11</v>
      </c>
      <c r="G14" s="24">
        <f t="shared" si="0"/>
        <v>132</v>
      </c>
      <c r="H14" s="24">
        <v>12</v>
      </c>
      <c r="I14" s="18">
        <v>4.58</v>
      </c>
      <c r="J14" s="19">
        <f t="shared" si="1"/>
        <v>604.56</v>
      </c>
      <c r="K14" s="20">
        <v>0.0765</v>
      </c>
      <c r="L14" s="21">
        <f t="shared" si="2"/>
        <v>0.8415</v>
      </c>
    </row>
    <row r="15" ht="15.5" spans="1:12">
      <c r="A15" s="14" t="s">
        <v>12</v>
      </c>
      <c r="B15" s="15" t="s">
        <v>13</v>
      </c>
      <c r="C15" s="24" t="s">
        <v>36</v>
      </c>
      <c r="D15" s="24" t="s">
        <v>35</v>
      </c>
      <c r="E15" s="24" t="s">
        <v>24</v>
      </c>
      <c r="F15" s="25">
        <v>5</v>
      </c>
      <c r="G15" s="24">
        <f t="shared" si="0"/>
        <v>60</v>
      </c>
      <c r="H15" s="24">
        <v>12</v>
      </c>
      <c r="I15" s="18">
        <v>4.58</v>
      </c>
      <c r="J15" s="19">
        <f t="shared" si="1"/>
        <v>274.8</v>
      </c>
      <c r="K15" s="20">
        <v>0.0765</v>
      </c>
      <c r="L15" s="21">
        <f t="shared" si="2"/>
        <v>0.3825</v>
      </c>
    </row>
    <row r="16" ht="15.5" spans="1:12">
      <c r="A16" s="14" t="s">
        <v>12</v>
      </c>
      <c r="B16" s="15" t="s">
        <v>13</v>
      </c>
      <c r="C16" s="26" t="s">
        <v>37</v>
      </c>
      <c r="D16" s="26" t="s">
        <v>38</v>
      </c>
      <c r="E16" s="26" t="s">
        <v>16</v>
      </c>
      <c r="F16" s="27">
        <v>60</v>
      </c>
      <c r="G16" s="26">
        <f t="shared" si="0"/>
        <v>600</v>
      </c>
      <c r="H16" s="26">
        <v>10</v>
      </c>
      <c r="I16" s="18">
        <v>5.565009107968</v>
      </c>
      <c r="J16" s="19">
        <f t="shared" si="1"/>
        <v>3339.0054647808</v>
      </c>
      <c r="K16" s="20">
        <v>0.07344</v>
      </c>
      <c r="L16" s="21">
        <f t="shared" si="2"/>
        <v>4.4064</v>
      </c>
    </row>
    <row r="17" ht="15.5" spans="1:12">
      <c r="A17" s="14" t="s">
        <v>12</v>
      </c>
      <c r="B17" s="15" t="s">
        <v>13</v>
      </c>
      <c r="C17" s="26" t="s">
        <v>39</v>
      </c>
      <c r="D17" s="26" t="s">
        <v>38</v>
      </c>
      <c r="E17" s="26" t="s">
        <v>20</v>
      </c>
      <c r="F17" s="27">
        <v>33</v>
      </c>
      <c r="G17" s="26">
        <f t="shared" si="0"/>
        <v>330</v>
      </c>
      <c r="H17" s="26">
        <v>10</v>
      </c>
      <c r="I17" s="18">
        <v>5.565009107968</v>
      </c>
      <c r="J17" s="19">
        <f t="shared" si="1"/>
        <v>1836.45300562944</v>
      </c>
      <c r="K17" s="20">
        <v>0.07344</v>
      </c>
      <c r="L17" s="21">
        <f t="shared" si="2"/>
        <v>2.42352</v>
      </c>
    </row>
    <row r="18" ht="15.5" spans="1:12">
      <c r="A18" s="14" t="s">
        <v>12</v>
      </c>
      <c r="B18" s="15" t="s">
        <v>13</v>
      </c>
      <c r="C18" s="26" t="s">
        <v>40</v>
      </c>
      <c r="D18" s="26" t="s">
        <v>38</v>
      </c>
      <c r="E18" s="26" t="s">
        <v>22</v>
      </c>
      <c r="F18" s="27">
        <v>26</v>
      </c>
      <c r="G18" s="26">
        <f t="shared" si="0"/>
        <v>260</v>
      </c>
      <c r="H18" s="26">
        <v>10</v>
      </c>
      <c r="I18" s="18">
        <v>5.565009107968</v>
      </c>
      <c r="J18" s="19">
        <f t="shared" si="1"/>
        <v>1446.90236807168</v>
      </c>
      <c r="K18" s="20">
        <v>0.07344</v>
      </c>
      <c r="L18" s="21">
        <f t="shared" si="2"/>
        <v>1.90944</v>
      </c>
    </row>
    <row r="19" ht="15.5" spans="1:12">
      <c r="A19" s="14" t="s">
        <v>12</v>
      </c>
      <c r="B19" s="15" t="s">
        <v>13</v>
      </c>
      <c r="C19" s="26" t="s">
        <v>41</v>
      </c>
      <c r="D19" s="26" t="s">
        <v>38</v>
      </c>
      <c r="E19" s="26" t="s">
        <v>24</v>
      </c>
      <c r="F19" s="27">
        <v>53</v>
      </c>
      <c r="G19" s="26">
        <f t="shared" si="0"/>
        <v>530</v>
      </c>
      <c r="H19" s="26">
        <v>10</v>
      </c>
      <c r="I19" s="18">
        <v>5.565009107968</v>
      </c>
      <c r="J19" s="19">
        <f t="shared" si="1"/>
        <v>2949.45482722304</v>
      </c>
      <c r="K19" s="20">
        <v>0.07344</v>
      </c>
      <c r="L19" s="21">
        <f t="shared" si="2"/>
        <v>3.89232</v>
      </c>
    </row>
    <row r="20" ht="15.5" spans="1:12">
      <c r="A20" s="14" t="s">
        <v>12</v>
      </c>
      <c r="B20" s="15" t="s">
        <v>13</v>
      </c>
      <c r="C20" s="28" t="s">
        <v>42</v>
      </c>
      <c r="D20" s="28" t="s">
        <v>43</v>
      </c>
      <c r="E20" s="28" t="s">
        <v>18</v>
      </c>
      <c r="F20" s="29">
        <v>94</v>
      </c>
      <c r="G20" s="28">
        <f t="shared" si="0"/>
        <v>1128</v>
      </c>
      <c r="H20" s="28">
        <v>12</v>
      </c>
      <c r="I20" s="18">
        <v>4.95114109696</v>
      </c>
      <c r="J20" s="19">
        <f t="shared" si="1"/>
        <v>5584.88715737088</v>
      </c>
      <c r="K20" s="20">
        <v>0.0765</v>
      </c>
      <c r="L20" s="21">
        <f t="shared" si="2"/>
        <v>7.191</v>
      </c>
    </row>
    <row r="21" ht="15.5" spans="1:12">
      <c r="A21" s="14" t="s">
        <v>12</v>
      </c>
      <c r="B21" s="15" t="s">
        <v>13</v>
      </c>
      <c r="C21" s="28" t="s">
        <v>44</v>
      </c>
      <c r="D21" s="28" t="s">
        <v>43</v>
      </c>
      <c r="E21" s="28" t="s">
        <v>16</v>
      </c>
      <c r="F21" s="29">
        <v>77</v>
      </c>
      <c r="G21" s="28">
        <f t="shared" si="0"/>
        <v>924</v>
      </c>
      <c r="H21" s="28">
        <v>12</v>
      </c>
      <c r="I21" s="18">
        <v>4.95114109696</v>
      </c>
      <c r="J21" s="19">
        <f t="shared" si="1"/>
        <v>4574.85437359104</v>
      </c>
      <c r="K21" s="20">
        <v>0.0765</v>
      </c>
      <c r="L21" s="21">
        <f t="shared" si="2"/>
        <v>5.8905</v>
      </c>
    </row>
    <row r="22" ht="15.5" spans="1:12">
      <c r="A22" s="14" t="s">
        <v>12</v>
      </c>
      <c r="B22" s="15" t="s">
        <v>13</v>
      </c>
      <c r="C22" s="28" t="s">
        <v>45</v>
      </c>
      <c r="D22" s="28" t="s">
        <v>43</v>
      </c>
      <c r="E22" s="28" t="s">
        <v>20</v>
      </c>
      <c r="F22" s="29">
        <v>47</v>
      </c>
      <c r="G22" s="28">
        <f t="shared" si="0"/>
        <v>564</v>
      </c>
      <c r="H22" s="28">
        <v>12</v>
      </c>
      <c r="I22" s="18">
        <v>4.95114109696</v>
      </c>
      <c r="J22" s="19">
        <f t="shared" si="1"/>
        <v>2792.44357868544</v>
      </c>
      <c r="K22" s="20">
        <v>0.0765</v>
      </c>
      <c r="L22" s="21">
        <f t="shared" si="2"/>
        <v>3.5955</v>
      </c>
    </row>
    <row r="23" ht="15.5" spans="1:12">
      <c r="A23" s="14" t="s">
        <v>12</v>
      </c>
      <c r="B23" s="15" t="s">
        <v>13</v>
      </c>
      <c r="C23" s="28" t="s">
        <v>46</v>
      </c>
      <c r="D23" s="28" t="s">
        <v>43</v>
      </c>
      <c r="E23" s="28" t="s">
        <v>22</v>
      </c>
      <c r="F23" s="29">
        <v>57</v>
      </c>
      <c r="G23" s="28">
        <f t="shared" si="0"/>
        <v>684</v>
      </c>
      <c r="H23" s="28">
        <v>12</v>
      </c>
      <c r="I23" s="18">
        <v>4.95114109696</v>
      </c>
      <c r="J23" s="19">
        <f t="shared" si="1"/>
        <v>3386.58051032064</v>
      </c>
      <c r="K23" s="20">
        <v>0.0765</v>
      </c>
      <c r="L23" s="21">
        <f t="shared" si="2"/>
        <v>4.3605</v>
      </c>
    </row>
    <row r="24" ht="15.5" spans="1:12">
      <c r="A24" s="14" t="s">
        <v>12</v>
      </c>
      <c r="B24" s="15" t="s">
        <v>13</v>
      </c>
      <c r="C24" s="28" t="s">
        <v>47</v>
      </c>
      <c r="D24" s="28" t="s">
        <v>43</v>
      </c>
      <c r="E24" s="28" t="s">
        <v>24</v>
      </c>
      <c r="F24" s="29"/>
      <c r="G24" s="28">
        <f t="shared" si="0"/>
        <v>0</v>
      </c>
      <c r="H24" s="28">
        <v>12</v>
      </c>
      <c r="I24" s="18">
        <v>4.95114109696</v>
      </c>
      <c r="J24" s="19">
        <f t="shared" si="1"/>
        <v>0</v>
      </c>
      <c r="K24" s="20">
        <v>0.0765</v>
      </c>
      <c r="L24" s="21">
        <f t="shared" si="2"/>
        <v>0</v>
      </c>
    </row>
    <row r="25" ht="15.5" spans="1:12">
      <c r="A25" s="14" t="s">
        <v>12</v>
      </c>
      <c r="B25" s="15" t="s">
        <v>13</v>
      </c>
      <c r="C25" s="28" t="s">
        <v>48</v>
      </c>
      <c r="D25" s="28" t="s">
        <v>43</v>
      </c>
      <c r="E25" s="28" t="s">
        <v>49</v>
      </c>
      <c r="F25" s="29"/>
      <c r="G25" s="28">
        <f t="shared" si="0"/>
        <v>0</v>
      </c>
      <c r="H25" s="28">
        <v>12</v>
      </c>
      <c r="I25" s="18">
        <v>4.95114109696</v>
      </c>
      <c r="J25" s="19">
        <f t="shared" si="1"/>
        <v>0</v>
      </c>
      <c r="K25" s="20">
        <v>0.0765</v>
      </c>
      <c r="L25" s="21">
        <f t="shared" si="2"/>
        <v>0</v>
      </c>
    </row>
    <row r="26" ht="15.5" spans="1:12">
      <c r="A26" s="14" t="s">
        <v>12</v>
      </c>
      <c r="B26" s="15" t="s">
        <v>13</v>
      </c>
      <c r="C26" s="28" t="s">
        <v>50</v>
      </c>
      <c r="D26" s="28" t="s">
        <v>43</v>
      </c>
      <c r="E26" s="28" t="s">
        <v>51</v>
      </c>
      <c r="F26" s="29">
        <v>27</v>
      </c>
      <c r="G26" s="28">
        <f t="shared" si="0"/>
        <v>324</v>
      </c>
      <c r="H26" s="28">
        <v>12</v>
      </c>
      <c r="I26" s="18">
        <v>4.95114109696</v>
      </c>
      <c r="J26" s="19">
        <f t="shared" si="1"/>
        <v>1604.16971541504</v>
      </c>
      <c r="K26" s="20">
        <v>0.0765</v>
      </c>
      <c r="L26" s="21">
        <f t="shared" si="2"/>
        <v>2.0655</v>
      </c>
    </row>
    <row r="27" ht="15.5" spans="1:12">
      <c r="A27" s="14" t="s">
        <v>12</v>
      </c>
      <c r="B27" s="15" t="s">
        <v>13</v>
      </c>
      <c r="C27" s="28" t="s">
        <v>52</v>
      </c>
      <c r="D27" s="28" t="s">
        <v>43</v>
      </c>
      <c r="E27" s="28" t="s">
        <v>26</v>
      </c>
      <c r="F27" s="29">
        <v>28</v>
      </c>
      <c r="G27" s="28">
        <f t="shared" si="0"/>
        <v>336</v>
      </c>
      <c r="H27" s="28">
        <v>12</v>
      </c>
      <c r="I27" s="18">
        <v>4.95114109696</v>
      </c>
      <c r="J27" s="19">
        <f t="shared" si="1"/>
        <v>1663.58340857856</v>
      </c>
      <c r="K27" s="20">
        <v>0.0765</v>
      </c>
      <c r="L27" s="21">
        <f t="shared" si="2"/>
        <v>2.142</v>
      </c>
    </row>
    <row r="28" ht="15.5" spans="1:12">
      <c r="A28" s="14" t="s">
        <v>12</v>
      </c>
      <c r="B28" s="15" t="s">
        <v>13</v>
      </c>
      <c r="C28" s="30" t="s">
        <v>53</v>
      </c>
      <c r="D28" s="30" t="s">
        <v>54</v>
      </c>
      <c r="E28" s="30" t="s">
        <v>20</v>
      </c>
      <c r="F28" s="31">
        <v>3</v>
      </c>
      <c r="G28" s="30">
        <f t="shared" si="0"/>
        <v>36</v>
      </c>
      <c r="H28" s="30">
        <v>12</v>
      </c>
      <c r="I28" s="19">
        <v>4.85</v>
      </c>
      <c r="J28" s="19">
        <f t="shared" si="1"/>
        <v>174.6</v>
      </c>
      <c r="K28" s="20">
        <v>0.0765</v>
      </c>
      <c r="L28" s="21">
        <f t="shared" si="2"/>
        <v>0.2295</v>
      </c>
    </row>
    <row r="29" ht="15.5" spans="1:12">
      <c r="A29" s="14" t="s">
        <v>12</v>
      </c>
      <c r="B29" s="15" t="s">
        <v>13</v>
      </c>
      <c r="C29" s="30" t="s">
        <v>55</v>
      </c>
      <c r="D29" s="30" t="s">
        <v>54</v>
      </c>
      <c r="E29" s="30" t="s">
        <v>22</v>
      </c>
      <c r="F29" s="32">
        <v>5</v>
      </c>
      <c r="G29" s="30">
        <f t="shared" si="0"/>
        <v>60</v>
      </c>
      <c r="H29" s="30">
        <v>12</v>
      </c>
      <c r="I29" s="19">
        <v>4.85</v>
      </c>
      <c r="J29" s="19">
        <f t="shared" si="1"/>
        <v>291</v>
      </c>
      <c r="K29" s="20">
        <v>0.0765</v>
      </c>
      <c r="L29" s="21">
        <f t="shared" si="2"/>
        <v>0.3825</v>
      </c>
    </row>
    <row r="30" ht="15.5" spans="1:12">
      <c r="A30" s="14" t="s">
        <v>12</v>
      </c>
      <c r="B30" s="15" t="s">
        <v>13</v>
      </c>
      <c r="C30" s="15" t="s">
        <v>56</v>
      </c>
      <c r="D30" s="15" t="s">
        <v>54</v>
      </c>
      <c r="E30" s="15" t="s">
        <v>57</v>
      </c>
      <c r="F30" s="33">
        <v>3</v>
      </c>
      <c r="G30" s="15">
        <f t="shared" si="0"/>
        <v>36</v>
      </c>
      <c r="H30" s="15">
        <v>12</v>
      </c>
      <c r="I30" s="19">
        <v>4.85</v>
      </c>
      <c r="J30" s="19">
        <f t="shared" si="1"/>
        <v>174.6</v>
      </c>
      <c r="K30" s="20">
        <v>0.0765</v>
      </c>
      <c r="L30" s="21">
        <f t="shared" si="2"/>
        <v>0.2295</v>
      </c>
    </row>
    <row r="31" ht="15.5" spans="1:12">
      <c r="A31" s="14" t="s">
        <v>12</v>
      </c>
      <c r="B31" s="15" t="s">
        <v>13</v>
      </c>
      <c r="C31" s="24" t="s">
        <v>58</v>
      </c>
      <c r="D31" s="24" t="s">
        <v>59</v>
      </c>
      <c r="E31" s="24" t="s">
        <v>18</v>
      </c>
      <c r="F31" s="25">
        <v>9</v>
      </c>
      <c r="G31" s="24">
        <f t="shared" si="0"/>
        <v>90</v>
      </c>
      <c r="H31" s="24">
        <v>10</v>
      </c>
      <c r="I31" s="18">
        <v>5.945762684416</v>
      </c>
      <c r="J31" s="19">
        <f t="shared" si="1"/>
        <v>535.11864159744</v>
      </c>
      <c r="K31" s="20">
        <v>0.08415</v>
      </c>
      <c r="L31" s="21">
        <f t="shared" si="2"/>
        <v>0.75735</v>
      </c>
    </row>
    <row r="32" ht="15.5" spans="1:12">
      <c r="A32" s="14" t="s">
        <v>12</v>
      </c>
      <c r="B32" s="15" t="s">
        <v>13</v>
      </c>
      <c r="C32" s="24" t="s">
        <v>60</v>
      </c>
      <c r="D32" s="24" t="s">
        <v>59</v>
      </c>
      <c r="E32" s="24" t="s">
        <v>22</v>
      </c>
      <c r="F32" s="25">
        <v>9</v>
      </c>
      <c r="G32" s="24">
        <f t="shared" si="0"/>
        <v>90</v>
      </c>
      <c r="H32" s="24">
        <v>10</v>
      </c>
      <c r="I32" s="18">
        <v>5.945762684416</v>
      </c>
      <c r="J32" s="19">
        <f t="shared" si="1"/>
        <v>535.11864159744</v>
      </c>
      <c r="K32" s="20">
        <v>0.08415</v>
      </c>
      <c r="L32" s="21">
        <f t="shared" si="2"/>
        <v>0.75735</v>
      </c>
    </row>
    <row r="33" ht="15.5" spans="1:12">
      <c r="A33" s="14" t="s">
        <v>12</v>
      </c>
      <c r="B33" s="15" t="s">
        <v>13</v>
      </c>
      <c r="C33" s="24" t="s">
        <v>61</v>
      </c>
      <c r="D33" s="24" t="s">
        <v>59</v>
      </c>
      <c r="E33" s="24" t="s">
        <v>51</v>
      </c>
      <c r="F33" s="25">
        <v>7</v>
      </c>
      <c r="G33" s="24">
        <f t="shared" si="0"/>
        <v>70</v>
      </c>
      <c r="H33" s="24">
        <v>10</v>
      </c>
      <c r="I33" s="18">
        <v>5.945762684416</v>
      </c>
      <c r="J33" s="19">
        <f t="shared" si="1"/>
        <v>416.20338790912</v>
      </c>
      <c r="K33" s="20">
        <v>0.08415</v>
      </c>
      <c r="L33" s="21">
        <f t="shared" si="2"/>
        <v>0.58905</v>
      </c>
    </row>
    <row r="34" ht="15.5" spans="1:12">
      <c r="A34" s="14" t="s">
        <v>12</v>
      </c>
      <c r="B34" s="15" t="s">
        <v>13</v>
      </c>
      <c r="C34" s="24" t="s">
        <v>62</v>
      </c>
      <c r="D34" s="24" t="s">
        <v>59</v>
      </c>
      <c r="E34" s="24" t="s">
        <v>57</v>
      </c>
      <c r="F34" s="25">
        <v>5</v>
      </c>
      <c r="G34" s="24">
        <f t="shared" si="0"/>
        <v>50</v>
      </c>
      <c r="H34" s="24">
        <v>10</v>
      </c>
      <c r="I34" s="18">
        <v>5.945762684416</v>
      </c>
      <c r="J34" s="19">
        <f t="shared" si="1"/>
        <v>297.2881342208</v>
      </c>
      <c r="K34" s="20">
        <v>0.08415</v>
      </c>
      <c r="L34" s="21">
        <f t="shared" si="2"/>
        <v>0.42075</v>
      </c>
    </row>
    <row r="35" ht="15.5" spans="1:12">
      <c r="A35" s="14" t="s">
        <v>12</v>
      </c>
      <c r="B35" s="15" t="s">
        <v>13</v>
      </c>
      <c r="C35" s="24" t="s">
        <v>63</v>
      </c>
      <c r="D35" s="24" t="s">
        <v>59</v>
      </c>
      <c r="E35" s="24" t="s">
        <v>26</v>
      </c>
      <c r="F35" s="25">
        <v>7</v>
      </c>
      <c r="G35" s="24">
        <f t="shared" si="0"/>
        <v>70</v>
      </c>
      <c r="H35" s="24">
        <v>10</v>
      </c>
      <c r="I35" s="18">
        <v>5.945762684416</v>
      </c>
      <c r="J35" s="19">
        <f t="shared" si="1"/>
        <v>416.20338790912</v>
      </c>
      <c r="K35" s="20">
        <v>0.08415</v>
      </c>
      <c r="L35" s="21">
        <f t="shared" si="2"/>
        <v>0.58905</v>
      </c>
    </row>
    <row r="36" s="2" customFormat="1" spans="1:12">
      <c r="A36" s="34" t="s">
        <v>64</v>
      </c>
      <c r="B36" s="35" t="s">
        <v>65</v>
      </c>
      <c r="C36" s="35" t="s">
        <v>66</v>
      </c>
      <c r="D36" s="35" t="s">
        <v>15</v>
      </c>
      <c r="E36" s="35" t="s">
        <v>67</v>
      </c>
      <c r="F36" s="36"/>
      <c r="G36" s="35">
        <f t="shared" ref="G36:G43" si="3">F36*H36</f>
        <v>0</v>
      </c>
      <c r="H36" s="35">
        <v>10</v>
      </c>
      <c r="I36" s="19">
        <v>5.7</v>
      </c>
      <c r="J36" s="19">
        <f t="shared" ref="J36:J61" si="4">I36*G36</f>
        <v>0</v>
      </c>
      <c r="K36" s="37">
        <v>0.075012</v>
      </c>
      <c r="L36" s="21">
        <f t="shared" ref="L36:L61" si="5">K36*F36</f>
        <v>0</v>
      </c>
    </row>
    <row r="37" s="2" customFormat="1" spans="1:12">
      <c r="A37" s="34" t="s">
        <v>64</v>
      </c>
      <c r="B37" s="35" t="s">
        <v>65</v>
      </c>
      <c r="C37" s="35" t="s">
        <v>68</v>
      </c>
      <c r="D37" s="35" t="s">
        <v>15</v>
      </c>
      <c r="E37" s="35" t="s">
        <v>69</v>
      </c>
      <c r="F37" s="35">
        <v>4</v>
      </c>
      <c r="G37" s="35">
        <f t="shared" si="3"/>
        <v>40</v>
      </c>
      <c r="H37" s="35">
        <v>10</v>
      </c>
      <c r="I37" s="19">
        <v>5.7</v>
      </c>
      <c r="J37" s="19">
        <f t="shared" si="4"/>
        <v>228</v>
      </c>
      <c r="K37" s="37">
        <v>0.075012</v>
      </c>
      <c r="L37" s="21">
        <f t="shared" si="5"/>
        <v>0.300048</v>
      </c>
    </row>
    <row r="38" s="2" customFormat="1" spans="1:12">
      <c r="A38" s="34" t="s">
        <v>64</v>
      </c>
      <c r="B38" s="35" t="s">
        <v>65</v>
      </c>
      <c r="C38" s="35" t="s">
        <v>70</v>
      </c>
      <c r="D38" s="35" t="s">
        <v>15</v>
      </c>
      <c r="E38" s="35" t="s">
        <v>71</v>
      </c>
      <c r="F38" s="35">
        <v>4</v>
      </c>
      <c r="G38" s="35">
        <f t="shared" si="3"/>
        <v>40</v>
      </c>
      <c r="H38" s="35">
        <v>10</v>
      </c>
      <c r="I38" s="19">
        <v>5.7</v>
      </c>
      <c r="J38" s="19">
        <f t="shared" si="4"/>
        <v>228</v>
      </c>
      <c r="K38" s="37">
        <v>0.075012</v>
      </c>
      <c r="L38" s="21">
        <f t="shared" si="5"/>
        <v>0.300048</v>
      </c>
    </row>
    <row r="39" s="2" customFormat="1" spans="1:12">
      <c r="A39" s="34" t="s">
        <v>64</v>
      </c>
      <c r="B39" s="35" t="s">
        <v>65</v>
      </c>
      <c r="C39" s="35" t="s">
        <v>72</v>
      </c>
      <c r="D39" s="35" t="s">
        <v>15</v>
      </c>
      <c r="E39" s="35" t="s">
        <v>73</v>
      </c>
      <c r="F39" s="35">
        <v>2</v>
      </c>
      <c r="G39" s="35">
        <f t="shared" si="3"/>
        <v>20</v>
      </c>
      <c r="H39" s="35">
        <v>10</v>
      </c>
      <c r="I39" s="19">
        <v>5.7</v>
      </c>
      <c r="J39" s="19">
        <f t="shared" si="4"/>
        <v>114</v>
      </c>
      <c r="K39" s="37">
        <v>0.075012</v>
      </c>
      <c r="L39" s="21">
        <f t="shared" si="5"/>
        <v>0.150024</v>
      </c>
    </row>
    <row r="40" s="2" customFormat="1" spans="1:12">
      <c r="A40" s="34" t="s">
        <v>64</v>
      </c>
      <c r="B40" s="35" t="s">
        <v>65</v>
      </c>
      <c r="C40" s="35" t="s">
        <v>74</v>
      </c>
      <c r="D40" s="35" t="s">
        <v>15</v>
      </c>
      <c r="E40" s="35" t="s">
        <v>75</v>
      </c>
      <c r="F40" s="35">
        <v>4</v>
      </c>
      <c r="G40" s="35">
        <f t="shared" si="3"/>
        <v>40</v>
      </c>
      <c r="H40" s="35">
        <v>10</v>
      </c>
      <c r="I40" s="19">
        <v>5.7</v>
      </c>
      <c r="J40" s="19">
        <f t="shared" si="4"/>
        <v>228</v>
      </c>
      <c r="K40" s="37">
        <v>0.075012</v>
      </c>
      <c r="L40" s="21">
        <f t="shared" si="5"/>
        <v>0.300048</v>
      </c>
    </row>
    <row r="41" s="2" customFormat="1" spans="1:12">
      <c r="A41" s="34" t="s">
        <v>64</v>
      </c>
      <c r="B41" s="35" t="s">
        <v>65</v>
      </c>
      <c r="C41" s="35" t="s">
        <v>76</v>
      </c>
      <c r="D41" s="35" t="s">
        <v>15</v>
      </c>
      <c r="E41" s="35" t="s">
        <v>77</v>
      </c>
      <c r="F41" s="35">
        <v>1</v>
      </c>
      <c r="G41" s="35">
        <f t="shared" si="3"/>
        <v>10</v>
      </c>
      <c r="H41" s="35">
        <v>10</v>
      </c>
      <c r="I41" s="19">
        <v>5.7</v>
      </c>
      <c r="J41" s="19">
        <f t="shared" si="4"/>
        <v>57</v>
      </c>
      <c r="K41" s="37">
        <v>0.075012</v>
      </c>
      <c r="L41" s="21">
        <f t="shared" si="5"/>
        <v>0.075012</v>
      </c>
    </row>
    <row r="42" s="2" customFormat="1" spans="1:12">
      <c r="A42" s="34" t="s">
        <v>64</v>
      </c>
      <c r="B42" s="35" t="s">
        <v>65</v>
      </c>
      <c r="C42" s="35" t="s">
        <v>78</v>
      </c>
      <c r="D42" s="35" t="s">
        <v>15</v>
      </c>
      <c r="E42" s="35" t="s">
        <v>79</v>
      </c>
      <c r="F42" s="35"/>
      <c r="G42" s="35">
        <f t="shared" si="3"/>
        <v>0</v>
      </c>
      <c r="H42" s="35">
        <v>10</v>
      </c>
      <c r="I42" s="19">
        <v>5.7</v>
      </c>
      <c r="J42" s="19">
        <f t="shared" si="4"/>
        <v>0</v>
      </c>
      <c r="K42" s="37">
        <v>0.075012</v>
      </c>
      <c r="L42" s="21">
        <f t="shared" si="5"/>
        <v>0</v>
      </c>
    </row>
    <row r="43" s="2" customFormat="1" spans="1:12">
      <c r="A43" s="34" t="s">
        <v>64</v>
      </c>
      <c r="B43" s="35" t="s">
        <v>65</v>
      </c>
      <c r="C43" s="35" t="s">
        <v>80</v>
      </c>
      <c r="D43" s="35" t="s">
        <v>15</v>
      </c>
      <c r="E43" s="35" t="s">
        <v>81</v>
      </c>
      <c r="F43" s="35">
        <v>12</v>
      </c>
      <c r="G43" s="35">
        <f t="shared" si="3"/>
        <v>120</v>
      </c>
      <c r="H43" s="35">
        <v>10</v>
      </c>
      <c r="I43" s="19">
        <v>5.7</v>
      </c>
      <c r="J43" s="19">
        <f t="shared" si="4"/>
        <v>684</v>
      </c>
      <c r="K43" s="37">
        <v>0.075012</v>
      </c>
      <c r="L43" s="21">
        <f t="shared" si="5"/>
        <v>0.900144</v>
      </c>
    </row>
    <row r="44" s="2" customFormat="1" spans="1:12">
      <c r="A44" s="34" t="s">
        <v>82</v>
      </c>
      <c r="B44" s="35" t="s">
        <v>65</v>
      </c>
      <c r="C44" s="15" t="s">
        <v>83</v>
      </c>
      <c r="D44" s="15" t="s">
        <v>15</v>
      </c>
      <c r="E44" s="15" t="s">
        <v>84</v>
      </c>
      <c r="F44" s="15"/>
      <c r="G44" s="15">
        <f t="shared" ref="G44:G50" si="6">H44*F44</f>
        <v>0</v>
      </c>
      <c r="H44" s="15">
        <v>10</v>
      </c>
      <c r="I44" s="19">
        <v>5.7</v>
      </c>
      <c r="J44" s="19">
        <f t="shared" si="4"/>
        <v>0</v>
      </c>
      <c r="K44" s="37">
        <v>0.075012</v>
      </c>
      <c r="L44" s="21">
        <f t="shared" si="5"/>
        <v>0</v>
      </c>
    </row>
    <row r="45" s="2" customFormat="1" spans="1:12">
      <c r="A45" s="34" t="s">
        <v>82</v>
      </c>
      <c r="B45" s="35" t="s">
        <v>65</v>
      </c>
      <c r="C45" s="15" t="s">
        <v>85</v>
      </c>
      <c r="D45" s="15" t="s">
        <v>15</v>
      </c>
      <c r="E45" s="15" t="s">
        <v>86</v>
      </c>
      <c r="F45" s="15">
        <v>11</v>
      </c>
      <c r="G45" s="15">
        <f t="shared" si="6"/>
        <v>110</v>
      </c>
      <c r="H45" s="15">
        <v>10</v>
      </c>
      <c r="I45" s="19">
        <v>5.7</v>
      </c>
      <c r="J45" s="19">
        <f t="shared" si="4"/>
        <v>627</v>
      </c>
      <c r="K45" s="37">
        <v>0.075012</v>
      </c>
      <c r="L45" s="21">
        <f t="shared" si="5"/>
        <v>0.825132</v>
      </c>
    </row>
    <row r="46" s="2" customFormat="1" spans="1:12">
      <c r="A46" s="34" t="s">
        <v>82</v>
      </c>
      <c r="B46" s="35" t="s">
        <v>65</v>
      </c>
      <c r="C46" s="15" t="s">
        <v>80</v>
      </c>
      <c r="D46" s="15" t="s">
        <v>15</v>
      </c>
      <c r="E46" s="15" t="s">
        <v>81</v>
      </c>
      <c r="F46" s="15">
        <v>7</v>
      </c>
      <c r="G46" s="15">
        <f t="shared" si="6"/>
        <v>70</v>
      </c>
      <c r="H46" s="15">
        <v>10</v>
      </c>
      <c r="I46" s="19">
        <v>5.7</v>
      </c>
      <c r="J46" s="19">
        <f t="shared" si="4"/>
        <v>399</v>
      </c>
      <c r="K46" s="37">
        <v>0.075012</v>
      </c>
      <c r="L46" s="21">
        <f t="shared" si="5"/>
        <v>0.525084</v>
      </c>
    </row>
    <row r="47" s="2" customFormat="1" spans="1:12">
      <c r="A47" s="34" t="s">
        <v>82</v>
      </c>
      <c r="B47" s="35" t="s">
        <v>65</v>
      </c>
      <c r="C47" s="15" t="s">
        <v>76</v>
      </c>
      <c r="D47" s="15" t="s">
        <v>15</v>
      </c>
      <c r="E47" s="15" t="s">
        <v>77</v>
      </c>
      <c r="F47" s="15">
        <v>5</v>
      </c>
      <c r="G47" s="15">
        <f t="shared" si="6"/>
        <v>50</v>
      </c>
      <c r="H47" s="15">
        <v>10</v>
      </c>
      <c r="I47" s="19">
        <v>5.7</v>
      </c>
      <c r="J47" s="19">
        <f t="shared" si="4"/>
        <v>285</v>
      </c>
      <c r="K47" s="37">
        <v>0.075012</v>
      </c>
      <c r="L47" s="21">
        <f t="shared" si="5"/>
        <v>0.37506</v>
      </c>
    </row>
    <row r="48" s="2" customFormat="1" spans="1:12">
      <c r="A48" s="34" t="s">
        <v>82</v>
      </c>
      <c r="B48" s="35" t="s">
        <v>65</v>
      </c>
      <c r="C48" s="15" t="s">
        <v>87</v>
      </c>
      <c r="D48" s="15" t="s">
        <v>15</v>
      </c>
      <c r="E48" s="15" t="s">
        <v>88</v>
      </c>
      <c r="F48" s="15">
        <v>3</v>
      </c>
      <c r="G48" s="15">
        <f t="shared" si="6"/>
        <v>30</v>
      </c>
      <c r="H48" s="15">
        <v>10</v>
      </c>
      <c r="I48" s="19">
        <v>5.7</v>
      </c>
      <c r="J48" s="19">
        <f t="shared" si="4"/>
        <v>171</v>
      </c>
      <c r="K48" s="37">
        <v>0.075012</v>
      </c>
      <c r="L48" s="21">
        <f t="shared" si="5"/>
        <v>0.225036</v>
      </c>
    </row>
    <row r="49" s="2" customFormat="1" spans="1:12">
      <c r="A49" s="34" t="s">
        <v>82</v>
      </c>
      <c r="B49" s="35" t="s">
        <v>65</v>
      </c>
      <c r="C49" s="15" t="s">
        <v>66</v>
      </c>
      <c r="D49" s="15" t="s">
        <v>15</v>
      </c>
      <c r="E49" s="15" t="s">
        <v>67</v>
      </c>
      <c r="F49" s="15"/>
      <c r="G49" s="15">
        <f t="shared" si="6"/>
        <v>0</v>
      </c>
      <c r="H49" s="15">
        <v>10</v>
      </c>
      <c r="I49" s="19">
        <v>5.7</v>
      </c>
      <c r="J49" s="19">
        <f t="shared" si="4"/>
        <v>0</v>
      </c>
      <c r="K49" s="37">
        <v>0.075012</v>
      </c>
      <c r="L49" s="21">
        <f t="shared" si="5"/>
        <v>0</v>
      </c>
    </row>
    <row r="50" s="2" customFormat="1" spans="1:12">
      <c r="A50" s="34" t="s">
        <v>82</v>
      </c>
      <c r="B50" s="35" t="s">
        <v>65</v>
      </c>
      <c r="C50" s="15" t="s">
        <v>72</v>
      </c>
      <c r="D50" s="15" t="s">
        <v>15</v>
      </c>
      <c r="E50" s="15" t="s">
        <v>73</v>
      </c>
      <c r="F50" s="15">
        <v>2</v>
      </c>
      <c r="G50" s="15">
        <f t="shared" si="6"/>
        <v>20</v>
      </c>
      <c r="H50" s="15">
        <v>10</v>
      </c>
      <c r="I50" s="19">
        <v>5.7</v>
      </c>
      <c r="J50" s="19">
        <f t="shared" si="4"/>
        <v>114</v>
      </c>
      <c r="K50" s="37">
        <v>0.075012</v>
      </c>
      <c r="L50" s="21">
        <f t="shared" si="5"/>
        <v>0.150024</v>
      </c>
    </row>
    <row r="51" s="2" customFormat="1" spans="1:12">
      <c r="A51" s="15" t="s">
        <v>89</v>
      </c>
      <c r="B51" s="35" t="s">
        <v>65</v>
      </c>
      <c r="C51" s="15" t="s">
        <v>90</v>
      </c>
      <c r="D51" s="15" t="s">
        <v>15</v>
      </c>
      <c r="E51" s="15" t="s">
        <v>16</v>
      </c>
      <c r="F51" s="15">
        <f t="shared" ref="F51:F53" si="7">G51/H51</f>
        <v>4</v>
      </c>
      <c r="G51" s="15">
        <v>40</v>
      </c>
      <c r="H51" s="15">
        <v>10</v>
      </c>
      <c r="I51" s="19">
        <v>5.7</v>
      </c>
      <c r="J51" s="19">
        <f t="shared" si="4"/>
        <v>228</v>
      </c>
      <c r="K51" s="37">
        <v>0.075012</v>
      </c>
      <c r="L51" s="21">
        <f t="shared" si="5"/>
        <v>0.300048</v>
      </c>
    </row>
    <row r="52" s="2" customFormat="1" spans="1:12">
      <c r="A52" s="15" t="s">
        <v>89</v>
      </c>
      <c r="B52" s="35" t="s">
        <v>65</v>
      </c>
      <c r="C52" s="15" t="s">
        <v>85</v>
      </c>
      <c r="D52" s="15" t="s">
        <v>15</v>
      </c>
      <c r="E52" s="15" t="s">
        <v>86</v>
      </c>
      <c r="F52" s="15">
        <f t="shared" si="7"/>
        <v>8</v>
      </c>
      <c r="G52" s="15">
        <v>80</v>
      </c>
      <c r="H52" s="15">
        <v>10</v>
      </c>
      <c r="I52" s="19">
        <v>5.7</v>
      </c>
      <c r="J52" s="19">
        <f t="shared" si="4"/>
        <v>456</v>
      </c>
      <c r="K52" s="37">
        <v>0.075012</v>
      </c>
      <c r="L52" s="21">
        <f t="shared" si="5"/>
        <v>0.600096</v>
      </c>
    </row>
    <row r="53" s="2" customFormat="1" spans="1:12">
      <c r="A53" s="15" t="s">
        <v>89</v>
      </c>
      <c r="B53" s="35" t="s">
        <v>65</v>
      </c>
      <c r="C53" s="15" t="s">
        <v>91</v>
      </c>
      <c r="D53" s="15" t="s">
        <v>15</v>
      </c>
      <c r="E53" s="15" t="s">
        <v>92</v>
      </c>
      <c r="F53" s="15">
        <f t="shared" si="7"/>
        <v>6</v>
      </c>
      <c r="G53" s="15">
        <v>60</v>
      </c>
      <c r="H53" s="15">
        <v>10</v>
      </c>
      <c r="I53" s="19">
        <v>5.7</v>
      </c>
      <c r="J53" s="19">
        <f t="shared" si="4"/>
        <v>342</v>
      </c>
      <c r="K53" s="37">
        <v>0.075012</v>
      </c>
      <c r="L53" s="21">
        <f t="shared" si="5"/>
        <v>0.450072</v>
      </c>
    </row>
    <row r="54" s="2" customFormat="1" spans="1:12">
      <c r="A54" s="34" t="s">
        <v>93</v>
      </c>
      <c r="B54" s="35" t="s">
        <v>65</v>
      </c>
      <c r="C54" s="15" t="s">
        <v>66</v>
      </c>
      <c r="D54" s="15" t="s">
        <v>15</v>
      </c>
      <c r="E54" s="15" t="s">
        <v>67</v>
      </c>
      <c r="F54" s="15">
        <v>3</v>
      </c>
      <c r="G54" s="15">
        <f t="shared" ref="G54:G61" si="8">H54*F54</f>
        <v>30</v>
      </c>
      <c r="H54" s="15">
        <v>10</v>
      </c>
      <c r="I54" s="19">
        <v>5.7</v>
      </c>
      <c r="J54" s="19">
        <f t="shared" si="4"/>
        <v>171</v>
      </c>
      <c r="K54" s="37">
        <v>0.075012</v>
      </c>
      <c r="L54" s="21">
        <f t="shared" si="5"/>
        <v>0.225036</v>
      </c>
    </row>
    <row r="55" s="2" customFormat="1" spans="1:12">
      <c r="A55" s="34" t="s">
        <v>93</v>
      </c>
      <c r="B55" s="35" t="s">
        <v>65</v>
      </c>
      <c r="C55" s="15" t="s">
        <v>68</v>
      </c>
      <c r="D55" s="15" t="s">
        <v>15</v>
      </c>
      <c r="E55" s="15" t="s">
        <v>69</v>
      </c>
      <c r="F55" s="15"/>
      <c r="G55" s="15">
        <f t="shared" si="8"/>
        <v>0</v>
      </c>
      <c r="H55" s="15">
        <v>10</v>
      </c>
      <c r="I55" s="19">
        <v>5.7</v>
      </c>
      <c r="J55" s="19">
        <f t="shared" si="4"/>
        <v>0</v>
      </c>
      <c r="K55" s="37">
        <v>0.075012</v>
      </c>
      <c r="L55" s="21">
        <f t="shared" si="5"/>
        <v>0</v>
      </c>
    </row>
    <row r="56" s="2" customFormat="1" spans="1:12">
      <c r="A56" s="34" t="s">
        <v>93</v>
      </c>
      <c r="B56" s="35" t="s">
        <v>65</v>
      </c>
      <c r="C56" s="15" t="s">
        <v>70</v>
      </c>
      <c r="D56" s="15" t="s">
        <v>15</v>
      </c>
      <c r="E56" s="15" t="s">
        <v>71</v>
      </c>
      <c r="F56" s="15">
        <v>2</v>
      </c>
      <c r="G56" s="15">
        <f t="shared" si="8"/>
        <v>20</v>
      </c>
      <c r="H56" s="15">
        <v>10</v>
      </c>
      <c r="I56" s="19">
        <v>5.7</v>
      </c>
      <c r="J56" s="19">
        <f t="shared" si="4"/>
        <v>114</v>
      </c>
      <c r="K56" s="37">
        <v>0.075012</v>
      </c>
      <c r="L56" s="21">
        <f t="shared" si="5"/>
        <v>0.150024</v>
      </c>
    </row>
    <row r="57" s="2" customFormat="1" spans="1:12">
      <c r="A57" s="34" t="s">
        <v>93</v>
      </c>
      <c r="B57" s="35" t="s">
        <v>65</v>
      </c>
      <c r="C57" s="15" t="s">
        <v>74</v>
      </c>
      <c r="D57" s="15" t="s">
        <v>15</v>
      </c>
      <c r="E57" s="15" t="s">
        <v>75</v>
      </c>
      <c r="F57" s="15">
        <v>2</v>
      </c>
      <c r="G57" s="15">
        <f t="shared" si="8"/>
        <v>20</v>
      </c>
      <c r="H57" s="15">
        <v>10</v>
      </c>
      <c r="I57" s="19">
        <v>5.7</v>
      </c>
      <c r="J57" s="19">
        <f t="shared" si="4"/>
        <v>114</v>
      </c>
      <c r="K57" s="37">
        <v>0.075012</v>
      </c>
      <c r="L57" s="21">
        <f t="shared" si="5"/>
        <v>0.150024</v>
      </c>
    </row>
    <row r="58" s="2" customFormat="1" spans="1:12">
      <c r="A58" s="34" t="s">
        <v>93</v>
      </c>
      <c r="B58" s="35" t="s">
        <v>65</v>
      </c>
      <c r="C58" s="15" t="s">
        <v>85</v>
      </c>
      <c r="D58" s="15" t="s">
        <v>15</v>
      </c>
      <c r="E58" s="15" t="s">
        <v>86</v>
      </c>
      <c r="F58" s="15">
        <v>18</v>
      </c>
      <c r="G58" s="15">
        <f t="shared" si="8"/>
        <v>180</v>
      </c>
      <c r="H58" s="15">
        <v>10</v>
      </c>
      <c r="I58" s="19">
        <v>5.7</v>
      </c>
      <c r="J58" s="19">
        <f t="shared" si="4"/>
        <v>1026</v>
      </c>
      <c r="K58" s="37">
        <v>0.075012</v>
      </c>
      <c r="L58" s="21">
        <f t="shared" si="5"/>
        <v>1.350216</v>
      </c>
    </row>
    <row r="59" s="2" customFormat="1" spans="1:12">
      <c r="A59" s="34" t="s">
        <v>93</v>
      </c>
      <c r="B59" s="35" t="s">
        <v>65</v>
      </c>
      <c r="C59" s="15" t="s">
        <v>78</v>
      </c>
      <c r="D59" s="15" t="s">
        <v>15</v>
      </c>
      <c r="E59" s="15" t="s">
        <v>79</v>
      </c>
      <c r="F59" s="15">
        <v>3</v>
      </c>
      <c r="G59" s="15">
        <f t="shared" si="8"/>
        <v>30</v>
      </c>
      <c r="H59" s="15">
        <v>10</v>
      </c>
      <c r="I59" s="19">
        <v>5.7</v>
      </c>
      <c r="J59" s="19">
        <f t="shared" si="4"/>
        <v>171</v>
      </c>
      <c r="K59" s="37">
        <v>0.075012</v>
      </c>
      <c r="L59" s="21">
        <f t="shared" si="5"/>
        <v>0.225036</v>
      </c>
    </row>
    <row r="60" s="2" customFormat="1" spans="1:12">
      <c r="A60" s="34" t="s">
        <v>93</v>
      </c>
      <c r="B60" s="35" t="s">
        <v>65</v>
      </c>
      <c r="C60" s="15" t="s">
        <v>80</v>
      </c>
      <c r="D60" s="15" t="s">
        <v>15</v>
      </c>
      <c r="E60" s="15" t="s">
        <v>81</v>
      </c>
      <c r="F60" s="15">
        <v>24</v>
      </c>
      <c r="G60" s="15">
        <f t="shared" si="8"/>
        <v>240</v>
      </c>
      <c r="H60" s="15">
        <v>10</v>
      </c>
      <c r="I60" s="19">
        <v>5.7</v>
      </c>
      <c r="J60" s="19">
        <f t="shared" si="4"/>
        <v>1368</v>
      </c>
      <c r="K60" s="37">
        <v>0.075012</v>
      </c>
      <c r="L60" s="21">
        <f t="shared" si="5"/>
        <v>1.800288</v>
      </c>
    </row>
    <row r="61" s="2" customFormat="1" spans="1:12">
      <c r="A61" s="34" t="s">
        <v>93</v>
      </c>
      <c r="B61" s="35" t="s">
        <v>65</v>
      </c>
      <c r="C61" s="15" t="s">
        <v>91</v>
      </c>
      <c r="D61" s="15" t="s">
        <v>15</v>
      </c>
      <c r="E61" s="15" t="s">
        <v>92</v>
      </c>
      <c r="F61" s="15">
        <v>5</v>
      </c>
      <c r="G61" s="15">
        <f t="shared" si="8"/>
        <v>50</v>
      </c>
      <c r="H61" s="15">
        <v>10</v>
      </c>
      <c r="I61" s="19">
        <v>5.7</v>
      </c>
      <c r="J61" s="19">
        <f t="shared" si="4"/>
        <v>285</v>
      </c>
      <c r="K61" s="37">
        <v>0.075012</v>
      </c>
      <c r="L61" s="21">
        <f t="shared" si="5"/>
        <v>0.37506</v>
      </c>
    </row>
    <row r="62" s="1" customFormat="1" spans="1:12">
      <c r="B62" s="38"/>
      <c r="C62" s="1"/>
      <c r="D62" s="1"/>
      <c r="E62" s="1"/>
      <c r="F62" s="39">
        <f>SUM(F2:F61)</f>
        <v>880</v>
      </c>
      <c r="G62" s="39">
        <f>SUM(G2:G61)</f>
        <v>9732</v>
      </c>
      <c r="H62" s="40"/>
      <c r="I62" s="41"/>
      <c r="J62" s="42">
        <f>SUM(J2:J61)</f>
        <v>50347.8486278912</v>
      </c>
      <c r="K62" s="43"/>
      <c r="L62" s="44">
        <f>SUM(L2:L61)</f>
        <v>66.65379</v>
      </c>
    </row>
    <row r="64" ht="15" spans="1:12">
      <c r="A64" s="45" t="s">
        <v>94</v>
      </c>
    </row>
    <row r="65" ht="15" spans="1:1">
      <c r="A65" s="45" t="s">
        <v>95</v>
      </c>
    </row>
    <row r="66" ht="15" spans="1:1">
      <c r="A66" s="45" t="s">
        <v>96</v>
      </c>
    </row>
    <row r="67" ht="15" spans="1:1">
      <c r="A67" s="45" t="s">
        <v>97</v>
      </c>
    </row>
    <row r="68" ht="15" spans="1:1">
      <c r="A68" s="45" t="s">
        <v>98</v>
      </c>
    </row>
    <row r="69" ht="15" spans="1:1">
      <c r="A69" s="45" t="s">
        <v>99</v>
      </c>
    </row>
    <row r="70" ht="15" spans="1:1">
      <c r="A70" s="45" t="s">
        <v>100</v>
      </c>
    </row>
    <row r="71" ht="15" spans="1:1">
      <c r="A71" s="45" t="s">
        <v>101</v>
      </c>
    </row>
  </sheetData>
  <pageMargins left="0.747916666666667" right="0.747916666666667" top="0.984027777777778" bottom="0.984027777777778" header="0.511805555555556" footer="0.511805555555556"/>
  <pageSetup paperSize="9" scale="86" fitToHeight="0" orientation="landscape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SURFACE</dc:creator>
  <cp:lastModifiedBy>Tommy</cp:lastModifiedBy>
  <dcterms:created xsi:type="dcterms:W3CDTF">2006-09-18T08:00:00Z</dcterms:created>
  <cp:lastPrinted>2024-10-29T03:03:00Z</cp:lastPrinted>
  <dcterms:modified xsi:type="dcterms:W3CDTF">2026-09-29T01:49:55Z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56941FD9E3574DEA9C7D9B745EF8B625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